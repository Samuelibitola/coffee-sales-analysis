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checkCompatibility="1" defaultThemeVersion="202300"/>
  <mc:AlternateContent xmlns:mc="http://schemas.openxmlformats.org/markup-compatibility/2006">
    <mc:Choice Requires="x15">
      <x15ac:absPath xmlns:x15ac="http://schemas.microsoft.com/office/spreadsheetml/2010/11/ac" url="C:\Users\hp\OneDrive\Documents\Data Analyst Tutorial\Chatgpt Assessment\Github Ready\"/>
    </mc:Choice>
  </mc:AlternateContent>
  <xr:revisionPtr revIDLastSave="0" documentId="8_{CF7D788E-CFB0-4EC3-90D5-71865C8C5677}" xr6:coauthVersionLast="47" xr6:coauthVersionMax="47" xr10:uidLastSave="{00000000-0000-0000-0000-000000000000}"/>
  <bookViews>
    <workbookView xWindow="-110" yWindow="-110" windowWidth="19420" windowHeight="11020" activeTab="1" xr2:uid="{6476B31B-41E4-473A-BE00-B5E512B7EB57}"/>
  </bookViews>
  <sheets>
    <sheet name="Dashboard" sheetId="5" r:id="rId1"/>
    <sheet name="coffee_sales_dataset" sheetId="1" r:id="rId2"/>
    <sheet name="Sheet1" sheetId="2" r:id="rId3"/>
  </sheets>
  <definedNames>
    <definedName name="Slicer_Country">#N/A</definedName>
    <definedName name="Slicer_Country1">#N/A</definedName>
  </definedNames>
  <calcPr calcId="191029"/>
  <pivotCaches>
    <pivotCache cacheId="1"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7" i="1" l="1"/>
  <c r="L4" i="1"/>
  <c r="L2" i="1"/>
  <c r="L9" i="1" s="1"/>
</calcChain>
</file>

<file path=xl/sharedStrings.xml><?xml version="1.0" encoding="utf-8"?>
<sst xmlns="http://schemas.openxmlformats.org/spreadsheetml/2006/main" count="2093" uniqueCount="126">
  <si>
    <t>Order_ID</t>
  </si>
  <si>
    <t>Order_Date</t>
  </si>
  <si>
    <t>Customer_Name</t>
  </si>
  <si>
    <t>Country</t>
  </si>
  <si>
    <t>Product</t>
  </si>
  <si>
    <t>Quantity</t>
  </si>
  <si>
    <t>Unit_Price</t>
  </si>
  <si>
    <t>Sales_Channel</t>
  </si>
  <si>
    <t>Total_Sales</t>
  </si>
  <si>
    <t>Customer_2</t>
  </si>
  <si>
    <t>Canada</t>
  </si>
  <si>
    <t>Cappuccino</t>
  </si>
  <si>
    <t>Retail</t>
  </si>
  <si>
    <t>Customer_32</t>
  </si>
  <si>
    <t>UK</t>
  </si>
  <si>
    <t>Americano</t>
  </si>
  <si>
    <t>Customer_24</t>
  </si>
  <si>
    <t>Germany</t>
  </si>
  <si>
    <t>Latte</t>
  </si>
  <si>
    <t>Customer_12</t>
  </si>
  <si>
    <t>France</t>
  </si>
  <si>
    <t>Espresso</t>
  </si>
  <si>
    <t>Customer_50</t>
  </si>
  <si>
    <t>USA</t>
  </si>
  <si>
    <t>Mocha</t>
  </si>
  <si>
    <t>Customer_35</t>
  </si>
  <si>
    <t>Online</t>
  </si>
  <si>
    <t>Customer_33</t>
  </si>
  <si>
    <t>Australia</t>
  </si>
  <si>
    <t>Customer_61</t>
  </si>
  <si>
    <t>Customer_51</t>
  </si>
  <si>
    <t>Customer_43</t>
  </si>
  <si>
    <t>Customer_67</t>
  </si>
  <si>
    <t>Customer_65</t>
  </si>
  <si>
    <t>Customer_40</t>
  </si>
  <si>
    <t>Customer_74</t>
  </si>
  <si>
    <t>Customer_44</t>
  </si>
  <si>
    <t>Customer_29</t>
  </si>
  <si>
    <t>Customer_13</t>
  </si>
  <si>
    <t>Customer_46</t>
  </si>
  <si>
    <t>Customer_8</t>
  </si>
  <si>
    <t>Customer_26</t>
  </si>
  <si>
    <t>Customer_34</t>
  </si>
  <si>
    <t>Customer_7</t>
  </si>
  <si>
    <t>Customer_68</t>
  </si>
  <si>
    <t>Customer_58</t>
  </si>
  <si>
    <t>Customer_75</t>
  </si>
  <si>
    <t>Customer_36</t>
  </si>
  <si>
    <t>Customer_21</t>
  </si>
  <si>
    <t>Customer_10</t>
  </si>
  <si>
    <t>Customer_73</t>
  </si>
  <si>
    <t>Customer_64</t>
  </si>
  <si>
    <t>Customer_49</t>
  </si>
  <si>
    <t>Customer_23</t>
  </si>
  <si>
    <t>Customer_62</t>
  </si>
  <si>
    <t>Customer_37</t>
  </si>
  <si>
    <t>Customer_55</t>
  </si>
  <si>
    <t>Customer_30</t>
  </si>
  <si>
    <t>Customer_17</t>
  </si>
  <si>
    <t>Customer_59</t>
  </si>
  <si>
    <t>Customer_19</t>
  </si>
  <si>
    <t>Customer_76</t>
  </si>
  <si>
    <t>Customer_9</t>
  </si>
  <si>
    <t>Customer_71</t>
  </si>
  <si>
    <t>Customer_28</t>
  </si>
  <si>
    <t>Customer_78</t>
  </si>
  <si>
    <t>Customer_52</t>
  </si>
  <si>
    <t>Customer_16</t>
  </si>
  <si>
    <t>Customer_69</t>
  </si>
  <si>
    <t>Customer_25</t>
  </si>
  <si>
    <t>Customer_53</t>
  </si>
  <si>
    <t>Customer_57</t>
  </si>
  <si>
    <t>Customer_39</t>
  </si>
  <si>
    <t>Customer_42</t>
  </si>
  <si>
    <t>Customer_14</t>
  </si>
  <si>
    <t>Customer_5</t>
  </si>
  <si>
    <t>Customer_18</t>
  </si>
  <si>
    <t>Customer_27</t>
  </si>
  <si>
    <t>Customer_66</t>
  </si>
  <si>
    <t>Customer_38</t>
  </si>
  <si>
    <t>Customer_45</t>
  </si>
  <si>
    <t>Customer_4</t>
  </si>
  <si>
    <t>Customer_70</t>
  </si>
  <si>
    <t>Customer_31</t>
  </si>
  <si>
    <t>Customer_54</t>
  </si>
  <si>
    <t>Customer_20</t>
  </si>
  <si>
    <t>Customer_72</t>
  </si>
  <si>
    <t>Customer_1</t>
  </si>
  <si>
    <t>Customer_3</t>
  </si>
  <si>
    <t>Customer_77</t>
  </si>
  <si>
    <t>Customer_63</t>
  </si>
  <si>
    <t>Customer_56</t>
  </si>
  <si>
    <t>Customer_6</t>
  </si>
  <si>
    <t>Customer_47</t>
  </si>
  <si>
    <t>Customer_15</t>
  </si>
  <si>
    <t>U.K.</t>
  </si>
  <si>
    <t>Customer_60</t>
  </si>
  <si>
    <t>Customer_41</t>
  </si>
  <si>
    <t>Customer_11</t>
  </si>
  <si>
    <t>Customer_79</t>
  </si>
  <si>
    <t>Customer_22</t>
  </si>
  <si>
    <t>Customer_48</t>
  </si>
  <si>
    <t xml:space="preserve">Online </t>
  </si>
  <si>
    <t>Row Labels</t>
  </si>
  <si>
    <t>Grand Total</t>
  </si>
  <si>
    <t>Sum of Total_Sales</t>
  </si>
  <si>
    <t>Months (Order_Date)</t>
  </si>
  <si>
    <t>Jan</t>
  </si>
  <si>
    <t>Feb</t>
  </si>
  <si>
    <t>Mar</t>
  </si>
  <si>
    <t>Apr</t>
  </si>
  <si>
    <t>May</t>
  </si>
  <si>
    <t>Jun</t>
  </si>
  <si>
    <t>Jul</t>
  </si>
  <si>
    <t>Aug</t>
  </si>
  <si>
    <t>Sep</t>
  </si>
  <si>
    <t>Oct</t>
  </si>
  <si>
    <t>Nov</t>
  </si>
  <si>
    <t>Dec</t>
  </si>
  <si>
    <t>Column Labels</t>
  </si>
  <si>
    <t>Count of Total_Sales</t>
  </si>
  <si>
    <t>Count of Quantity</t>
  </si>
  <si>
    <t>Average of Quantity</t>
  </si>
  <si>
    <t>Total Quantity Sold</t>
  </si>
  <si>
    <t>Total Number of Orders</t>
  </si>
  <si>
    <t>Average Quantity Sold per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</si>
</sst>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dd\-mmm\-yyyy"/>
    <numFmt numFmtId="165" formatCode="0;[Red]0"/>
    <numFmt numFmtId="166" formatCode="&quot;$&quot;#,##0.00;[Red]&quot;$&quot;#,##0.00"/>
    <numFmt numFmtId="167"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6" fontId="0" fillId="0" borderId="0" xfId="0" applyNumberFormat="1"/>
    <xf numFmtId="44" fontId="0" fillId="0" borderId="0" xfId="0" applyNumberFormat="1"/>
    <xf numFmtId="167" fontId="0" fillId="0" borderId="0" xfId="0" applyNumberFormat="1"/>
    <xf numFmtId="0" fontId="0" fillId="0" borderId="0" xfId="0" applyAlignment="1">
      <alignment horizontal="left" indent="1"/>
    </xf>
    <xf numFmtId="1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4" formatCode="dd\-mmm\-yyyy"/>
    </dxf>
    <dxf>
      <numFmt numFmtId="167" formatCode="&quot;$&quot;#,##0.00"/>
    </dxf>
    <dxf>
      <numFmt numFmtId="14" formatCode="0.00%"/>
    </dxf>
    <dxf>
      <numFmt numFmtId="167" formatCode="&quot;$&quot;#,##0.00"/>
    </dxf>
    <dxf>
      <numFmt numFmtId="167" formatCode="&quot;$&quot;#,##0.00"/>
    </dxf>
    <dxf>
      <numFmt numFmtId="165" formatCode="0;[Red]0"/>
    </dxf>
    <dxf>
      <numFmt numFmtId="167" formatCode="&quot;$&quot;#,##0.00"/>
    </dxf>
    <dxf>
      <numFmt numFmtId="167" formatCode="&quot;$&quot;#,##0.00"/>
    </dxf>
    <dxf>
      <numFmt numFmtId="167" formatCode="&quot;$&quot;#,##0.00"/>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[Done coffee_sales_dataset.xlsx]Sheet1!PivotTable2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 by total purchase value</a:t>
            </a:r>
          </a:p>
        </c:rich>
      </c:tx>
      <c:layout>
        <c:manualLayout>
          <c:xMode val="edge"/>
          <c:yMode val="edge"/>
          <c:x val="0.2571311298716270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Sheet1!$B$21:$B$25</c:f>
              <c:strCache>
                <c:ptCount val="5"/>
                <c:pt idx="0">
                  <c:v>Customer_5</c:v>
                </c:pt>
                <c:pt idx="1">
                  <c:v>Customer_75</c:v>
                </c:pt>
                <c:pt idx="2">
                  <c:v>Customer_51</c:v>
                </c:pt>
                <c:pt idx="3">
                  <c:v>Customer_36</c:v>
                </c:pt>
                <c:pt idx="4">
                  <c:v>Customer_39</c:v>
                </c:pt>
              </c:strCache>
            </c:strRef>
          </c:cat>
          <c:val>
            <c:numRef>
              <c:f>Sheet1!$C$21:$C$25</c:f>
              <c:numCache>
                <c:formatCode>"$"#,##0.00</c:formatCode>
                <c:ptCount val="5"/>
                <c:pt idx="0">
                  <c:v>316.22000000000003</c:v>
                </c:pt>
                <c:pt idx="1">
                  <c:v>280.49</c:v>
                </c:pt>
                <c:pt idx="2">
                  <c:v>249.83</c:v>
                </c:pt>
                <c:pt idx="3">
                  <c:v>236.20999999999998</c:v>
                </c:pt>
                <c:pt idx="4">
                  <c:v>224.42000000000002</c:v>
                </c:pt>
              </c:numCache>
            </c:numRef>
          </c:val>
          <c:extLst>
            <c:ext xmlns:c16="http://schemas.microsoft.com/office/drawing/2014/chart" uri="{C3380CC4-5D6E-409C-BE32-E72D297353CC}">
              <c16:uniqueId val="{00000000-7D7B-4477-A47F-7592660D7712}"/>
            </c:ext>
          </c:extLst>
        </c:ser>
        <c:dLbls>
          <c:dLblPos val="outEnd"/>
          <c:showLegendKey val="0"/>
          <c:showVal val="1"/>
          <c:showCatName val="0"/>
          <c:showSerName val="0"/>
          <c:showPercent val="0"/>
          <c:showBubbleSize val="0"/>
        </c:dLbls>
        <c:gapWidth val="219"/>
        <c:overlap val="-27"/>
        <c:axId val="1309434479"/>
        <c:axId val="1309432559"/>
      </c:barChart>
      <c:catAx>
        <c:axId val="130943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432559"/>
        <c:crosses val="autoZero"/>
        <c:auto val="1"/>
        <c:lblAlgn val="ctr"/>
        <c:lblOffset val="100"/>
        <c:noMultiLvlLbl val="0"/>
      </c:catAx>
      <c:valAx>
        <c:axId val="1309432559"/>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434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[Done coffee_sales_dataset.xlsx]Sheet1!PivotTable5</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sales channel generated more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Sheet1!$G$56</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Sheet1!$F$57:$F$60</c:f>
              <c:strCache>
                <c:ptCount val="3"/>
                <c:pt idx="0">
                  <c:v>Online</c:v>
                </c:pt>
                <c:pt idx="1">
                  <c:v>Online </c:v>
                </c:pt>
                <c:pt idx="2">
                  <c:v>Retail</c:v>
                </c:pt>
              </c:strCache>
            </c:strRef>
          </c:cat>
          <c:val>
            <c:numRef>
              <c:f>Sheet1!$G$57:$G$60</c:f>
              <c:numCache>
                <c:formatCode>"$"#,##0.00</c:formatCode>
                <c:ptCount val="3"/>
                <c:pt idx="0">
                  <c:v>5482.6100000000006</c:v>
                </c:pt>
                <c:pt idx="1">
                  <c:v>66.22</c:v>
                </c:pt>
                <c:pt idx="2">
                  <c:v>4946.4900000000007</c:v>
                </c:pt>
              </c:numCache>
            </c:numRef>
          </c:val>
          <c:extLst>
            <c:ext xmlns:c16="http://schemas.microsoft.com/office/drawing/2014/chart" uri="{C3380CC4-5D6E-409C-BE32-E72D297353CC}">
              <c16:uniqueId val="{00000000-7E88-4872-A227-6C5BA05B4758}"/>
            </c:ext>
          </c:extLst>
        </c:ser>
        <c:dLbls>
          <c:dLblPos val="outEnd"/>
          <c:showLegendKey val="0"/>
          <c:showVal val="1"/>
          <c:showCatName val="0"/>
          <c:showSerName val="0"/>
          <c:showPercent val="0"/>
          <c:showBubbleSize val="0"/>
        </c:dLbls>
        <c:gapWidth val="219"/>
        <c:overlap val="-27"/>
        <c:axId val="1406213087"/>
        <c:axId val="1406213567"/>
      </c:barChart>
      <c:catAx>
        <c:axId val="140621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213567"/>
        <c:crosses val="autoZero"/>
        <c:auto val="1"/>
        <c:lblAlgn val="ctr"/>
        <c:lblOffset val="100"/>
        <c:noMultiLvlLbl val="0"/>
      </c:catAx>
      <c:valAx>
        <c:axId val="140621356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213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[Done coffee_sales_dataset.xlsx]Sheet1!PivotTable4</c:name>
    <c:fmtId val="2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Contributions by Percentage</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dLbl>
          <c:idx val="0"/>
          <c:delete val="1"/>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pivotFmt>
      <c:pivotFmt>
        <c:idx val="21"/>
        <c:spPr>
          <a:solidFill>
            <a:schemeClr val="accent2"/>
          </a:solidFill>
          <a:ln>
            <a:noFill/>
          </a:ln>
          <a:effectLst>
            <a:outerShdw blurRad="63500" sx="102000" sy="102000" algn="ctr" rotWithShape="0">
              <a:prstClr val="black">
                <a:alpha val="20000"/>
              </a:prstClr>
            </a:outerShdw>
          </a:effectLst>
        </c:spPr>
      </c:pivotFmt>
      <c:pivotFmt>
        <c:idx val="22"/>
        <c:spPr>
          <a:solidFill>
            <a:schemeClr val="accent3"/>
          </a:solidFill>
          <a:ln>
            <a:noFill/>
          </a:ln>
          <a:effectLst>
            <a:outerShdw blurRad="63500" sx="102000" sy="102000" algn="ctr" rotWithShape="0">
              <a:prstClr val="black">
                <a:alpha val="20000"/>
              </a:prstClr>
            </a:outerShdw>
          </a:effectLst>
        </c:spPr>
      </c:pivotFmt>
      <c:pivotFmt>
        <c:idx val="23"/>
        <c:spPr>
          <a:solidFill>
            <a:schemeClr val="accent4"/>
          </a:solidFill>
          <a:ln>
            <a:noFill/>
          </a:ln>
          <a:effectLst>
            <a:outerShdw blurRad="63500" sx="102000" sy="102000" algn="ctr" rotWithShape="0">
              <a:prstClr val="black">
                <a:alpha val="20000"/>
              </a:prstClr>
            </a:outerShdw>
          </a:effectLst>
        </c:spPr>
      </c:pivotFmt>
      <c:pivotFmt>
        <c:idx val="24"/>
        <c:spPr>
          <a:solidFill>
            <a:schemeClr val="accent5"/>
          </a:solidFill>
          <a:ln>
            <a:noFill/>
          </a:ln>
          <a:effectLst>
            <a:outerShdw blurRad="63500" sx="102000" sy="102000" algn="ctr" rotWithShape="0">
              <a:prstClr val="black">
                <a:alpha val="20000"/>
              </a:prstClr>
            </a:outerShdw>
          </a:effectLst>
        </c:spPr>
      </c:pivotFmt>
      <c:pivotFmt>
        <c:idx val="25"/>
        <c:spPr>
          <a:solidFill>
            <a:schemeClr val="accent6"/>
          </a:solidFill>
          <a:ln>
            <a:noFill/>
          </a:ln>
          <a:effectLst>
            <a:outerShdw blurRad="63500" sx="102000" sy="102000" algn="ctr" rotWithShape="0">
              <a:prstClr val="black">
                <a:alpha val="20000"/>
              </a:prstClr>
            </a:outerShdw>
          </a:effectLst>
        </c:spPr>
      </c:pivotFmt>
      <c:pivotFmt>
        <c:idx val="26"/>
        <c:spPr>
          <a:solidFill>
            <a:schemeClr val="accent1">
              <a:lumMod val="60000"/>
            </a:schemeClr>
          </a:solidFill>
          <a:ln>
            <a:noFill/>
          </a:ln>
          <a:effectLst>
            <a:outerShdw blurRad="63500" sx="102000" sy="102000" algn="ctr" rotWithShape="0">
              <a:prstClr val="black">
                <a:alpha val="20000"/>
              </a:prstClr>
            </a:outerShdw>
          </a:effectLst>
        </c:spPr>
      </c:pivotFmt>
      <c:pivotFmt>
        <c:idx val="2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63500" sx="102000" sy="102000" algn="ctr" rotWithShape="0">
              <a:prstClr val="black">
                <a:alpha val="20000"/>
              </a:prstClr>
            </a:outerShdw>
          </a:effectLst>
        </c:spPr>
      </c:pivotFmt>
      <c:pivotFmt>
        <c:idx val="29"/>
        <c:spPr>
          <a:solidFill>
            <a:schemeClr val="accent2"/>
          </a:solidFill>
          <a:ln>
            <a:noFill/>
          </a:ln>
          <a:effectLst>
            <a:outerShdw blurRad="63500" sx="102000" sy="102000" algn="ctr" rotWithShape="0">
              <a:prstClr val="black">
                <a:alpha val="20000"/>
              </a:prstClr>
            </a:outerShdw>
          </a:effectLst>
        </c:spPr>
      </c:pivotFmt>
      <c:pivotFmt>
        <c:idx val="30"/>
        <c:spPr>
          <a:solidFill>
            <a:schemeClr val="accent3"/>
          </a:solidFill>
          <a:ln>
            <a:noFill/>
          </a:ln>
          <a:effectLst>
            <a:outerShdw blurRad="63500" sx="102000" sy="102000" algn="ctr" rotWithShape="0">
              <a:prstClr val="black">
                <a:alpha val="20000"/>
              </a:prstClr>
            </a:outerShdw>
          </a:effectLst>
        </c:spPr>
      </c:pivotFmt>
      <c:pivotFmt>
        <c:idx val="31"/>
        <c:spPr>
          <a:solidFill>
            <a:schemeClr val="accent4"/>
          </a:solidFill>
          <a:ln>
            <a:noFill/>
          </a:ln>
          <a:effectLst>
            <a:outerShdw blurRad="63500" sx="102000" sy="102000" algn="ctr" rotWithShape="0">
              <a:prstClr val="black">
                <a:alpha val="20000"/>
              </a:prstClr>
            </a:outerShdw>
          </a:effectLst>
        </c:spPr>
      </c:pivotFmt>
      <c:pivotFmt>
        <c:idx val="32"/>
        <c:spPr>
          <a:solidFill>
            <a:schemeClr val="accent5"/>
          </a:solidFill>
          <a:ln>
            <a:noFill/>
          </a:ln>
          <a:effectLst>
            <a:outerShdw blurRad="63500" sx="102000" sy="102000" algn="ctr" rotWithShape="0">
              <a:prstClr val="black">
                <a:alpha val="20000"/>
              </a:prstClr>
            </a:outerShdw>
          </a:effectLst>
        </c:spPr>
      </c:pivotFmt>
      <c:pivotFmt>
        <c:idx val="33"/>
        <c:spPr>
          <a:solidFill>
            <a:schemeClr val="accent6"/>
          </a:solidFill>
          <a:ln>
            <a:noFill/>
          </a:ln>
          <a:effectLst>
            <a:outerShdw blurRad="63500" sx="102000" sy="102000" algn="ctr" rotWithShape="0">
              <a:prstClr val="black">
                <a:alpha val="20000"/>
              </a:prstClr>
            </a:outerShdw>
          </a:effectLst>
        </c:spPr>
      </c:pivotFmt>
      <c:pivotFmt>
        <c:idx val="34"/>
        <c:spPr>
          <a:solidFill>
            <a:schemeClr val="accent1">
              <a:lumMod val="60000"/>
            </a:schemeClr>
          </a:solidFill>
          <a:ln>
            <a:noFill/>
          </a:ln>
          <a:effectLst>
            <a:outerShdw blurRad="63500" sx="102000" sy="102000" algn="ctr" rotWithShape="0">
              <a:prstClr val="black">
                <a:alpha val="20000"/>
              </a:prstClr>
            </a:outerShdw>
          </a:effectLst>
        </c:spPr>
      </c:pivotFmt>
      <c:pivotFmt>
        <c:idx val="35"/>
        <c:spPr>
          <a:solidFill>
            <a:schemeClr val="accent1"/>
          </a:solidFill>
          <a:ln>
            <a:noFill/>
          </a:ln>
          <a:effectLst>
            <a:outerShdw blurRad="63500" sx="102000" sy="102000" algn="ctr" rotWithShape="0">
              <a:prstClr val="black">
                <a:alpha val="20000"/>
              </a:prstClr>
            </a:outerShdw>
          </a:effectLst>
        </c:spPr>
        <c:marker>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Sheet1!$G$75:$G$76</c:f>
              <c:strCache>
                <c:ptCount val="1"/>
                <c:pt idx="0">
                  <c:v>Online</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6DD9-4414-A7BD-0D9DBEAEC3A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DD9-4414-A7BD-0D9DBEAEC3A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DD9-4414-A7BD-0D9DBEAEC3A3}"/>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6DD9-4414-A7BD-0D9DBEAEC3A3}"/>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6DD9-4414-A7BD-0D9DBEAEC3A3}"/>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6DD9-4414-A7BD-0D9DBEAEC3A3}"/>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6DD9-4414-A7BD-0D9DBEAEC3A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Sheet1!$F$77:$F$84</c:f>
              <c:strCache>
                <c:ptCount val="7"/>
                <c:pt idx="0">
                  <c:v>Australia</c:v>
                </c:pt>
                <c:pt idx="1">
                  <c:v>UK</c:v>
                </c:pt>
                <c:pt idx="2">
                  <c:v>USA</c:v>
                </c:pt>
                <c:pt idx="3">
                  <c:v>France</c:v>
                </c:pt>
                <c:pt idx="4">
                  <c:v>Canada</c:v>
                </c:pt>
                <c:pt idx="5">
                  <c:v>Germany</c:v>
                </c:pt>
                <c:pt idx="6">
                  <c:v>U.K.</c:v>
                </c:pt>
              </c:strCache>
            </c:strRef>
          </c:cat>
          <c:val>
            <c:numRef>
              <c:f>Sheet1!$G$77:$G$84</c:f>
              <c:numCache>
                <c:formatCode>0.00%</c:formatCode>
                <c:ptCount val="7"/>
                <c:pt idx="0">
                  <c:v>0.56360025820851445</c:v>
                </c:pt>
                <c:pt idx="1">
                  <c:v>0.53811809783865328</c:v>
                </c:pt>
                <c:pt idx="2">
                  <c:v>0.43936654093632116</c:v>
                </c:pt>
                <c:pt idx="3">
                  <c:v>0.57640481904975316</c:v>
                </c:pt>
                <c:pt idx="4">
                  <c:v>0.50207992088265296</c:v>
                </c:pt>
                <c:pt idx="5">
                  <c:v>0.53731971115544208</c:v>
                </c:pt>
                <c:pt idx="6">
                  <c:v>0.50387987503779108</c:v>
                </c:pt>
              </c:numCache>
            </c:numRef>
          </c:val>
          <c:extLst>
            <c:ext xmlns:c16="http://schemas.microsoft.com/office/drawing/2014/chart" uri="{C3380CC4-5D6E-409C-BE32-E72D297353CC}">
              <c16:uniqueId val="{0000000E-6DD9-4414-A7BD-0D9DBEAEC3A3}"/>
            </c:ext>
          </c:extLst>
        </c:ser>
        <c:ser>
          <c:idx val="1"/>
          <c:order val="1"/>
          <c:tx>
            <c:strRef>
              <c:f>Sheet1!$H$75:$H$76</c:f>
              <c:strCache>
                <c:ptCount val="1"/>
                <c:pt idx="0">
                  <c:v>Retail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6DD9-4414-A7BD-0D9DBEAEC3A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6DD9-4414-A7BD-0D9DBEAEC3A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6DD9-4414-A7BD-0D9DBEAEC3A3}"/>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6DD9-4414-A7BD-0D9DBEAEC3A3}"/>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6DD9-4414-A7BD-0D9DBEAEC3A3}"/>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6DD9-4414-A7BD-0D9DBEAEC3A3}"/>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6DD9-4414-A7BD-0D9DBEAEC3A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Sheet1!$F$77:$F$84</c:f>
              <c:strCache>
                <c:ptCount val="7"/>
                <c:pt idx="0">
                  <c:v>Australia</c:v>
                </c:pt>
                <c:pt idx="1">
                  <c:v>UK</c:v>
                </c:pt>
                <c:pt idx="2">
                  <c:v>USA</c:v>
                </c:pt>
                <c:pt idx="3">
                  <c:v>France</c:v>
                </c:pt>
                <c:pt idx="4">
                  <c:v>Canada</c:v>
                </c:pt>
                <c:pt idx="5">
                  <c:v>Germany</c:v>
                </c:pt>
                <c:pt idx="6">
                  <c:v>U.K.</c:v>
                </c:pt>
              </c:strCache>
            </c:strRef>
          </c:cat>
          <c:val>
            <c:numRef>
              <c:f>Sheet1!$H$77:$H$84</c:f>
              <c:numCache>
                <c:formatCode>0.00%</c:formatCode>
                <c:ptCount val="7"/>
                <c:pt idx="0">
                  <c:v>0.43639974179148561</c:v>
                </c:pt>
                <c:pt idx="1">
                  <c:v>0.46188190216134672</c:v>
                </c:pt>
                <c:pt idx="2">
                  <c:v>0.56063345906367879</c:v>
                </c:pt>
                <c:pt idx="3">
                  <c:v>0.4235951809502469</c:v>
                </c:pt>
                <c:pt idx="4">
                  <c:v>0.49792007911734709</c:v>
                </c:pt>
                <c:pt idx="5">
                  <c:v>0.46268028884455792</c:v>
                </c:pt>
                <c:pt idx="6">
                  <c:v>0.49612012496220903</c:v>
                </c:pt>
              </c:numCache>
            </c:numRef>
          </c:val>
          <c:extLst>
            <c:ext xmlns:c16="http://schemas.microsoft.com/office/drawing/2014/chart" uri="{C3380CC4-5D6E-409C-BE32-E72D297353CC}">
              <c16:uniqueId val="{00000027-6DD9-4414-A7BD-0D9DBEAEC3A3}"/>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[Done coffee_sales_dataset.xlsx]Sheet1!PivotTable1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Sheet1!$B$4:$B$10</c:f>
              <c:strCache>
                <c:ptCount val="7"/>
                <c:pt idx="0">
                  <c:v>Australia</c:v>
                </c:pt>
                <c:pt idx="1">
                  <c:v>UK</c:v>
                </c:pt>
                <c:pt idx="2">
                  <c:v>USA</c:v>
                </c:pt>
                <c:pt idx="3">
                  <c:v>France</c:v>
                </c:pt>
                <c:pt idx="4">
                  <c:v>Canada</c:v>
                </c:pt>
                <c:pt idx="5">
                  <c:v>Germany</c:v>
                </c:pt>
                <c:pt idx="6">
                  <c:v>U.K.</c:v>
                </c:pt>
              </c:strCache>
            </c:strRef>
          </c:cat>
          <c:val>
            <c:numRef>
              <c:f>Sheet1!$C$4:$C$10</c:f>
              <c:numCache>
                <c:formatCode>"$"#,##0.00;[Red]"$"#,##0.00</c:formatCode>
                <c:ptCount val="7"/>
                <c:pt idx="0">
                  <c:v>1846.9799999999998</c:v>
                </c:pt>
                <c:pt idx="1">
                  <c:v>1816.4600000000003</c:v>
                </c:pt>
                <c:pt idx="2">
                  <c:v>1806.3999999999999</c:v>
                </c:pt>
                <c:pt idx="3">
                  <c:v>1730.97</c:v>
                </c:pt>
                <c:pt idx="4">
                  <c:v>1626.2700000000002</c:v>
                </c:pt>
                <c:pt idx="5">
                  <c:v>1569.0100000000002</c:v>
                </c:pt>
                <c:pt idx="6">
                  <c:v>99.23</c:v>
                </c:pt>
              </c:numCache>
            </c:numRef>
          </c:val>
          <c:extLst>
            <c:ext xmlns:c16="http://schemas.microsoft.com/office/drawing/2014/chart" uri="{C3380CC4-5D6E-409C-BE32-E72D297353CC}">
              <c16:uniqueId val="{00000000-4F29-4C39-B23D-DD3EF58EEE79}"/>
            </c:ext>
          </c:extLst>
        </c:ser>
        <c:dLbls>
          <c:dLblPos val="outEnd"/>
          <c:showLegendKey val="0"/>
          <c:showVal val="1"/>
          <c:showCatName val="0"/>
          <c:showSerName val="0"/>
          <c:showPercent val="0"/>
          <c:showBubbleSize val="0"/>
        </c:dLbls>
        <c:gapWidth val="219"/>
        <c:overlap val="-27"/>
        <c:axId val="1150661551"/>
        <c:axId val="1150668751"/>
      </c:barChart>
      <c:catAx>
        <c:axId val="115066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668751"/>
        <c:crosses val="autoZero"/>
        <c:auto val="1"/>
        <c:lblAlgn val="ctr"/>
        <c:lblOffset val="100"/>
        <c:noMultiLvlLbl val="0"/>
      </c:catAx>
      <c:valAx>
        <c:axId val="1150668751"/>
        <c:scaling>
          <c:orientation val="minMax"/>
        </c:scaling>
        <c:delete val="0"/>
        <c:axPos val="l"/>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661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[Done coffee_sales_dataset.xlsx]Sheet1!PivotTable2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 by total purchase value</a:t>
            </a:r>
          </a:p>
        </c:rich>
      </c:tx>
      <c:layout>
        <c:manualLayout>
          <c:xMode val="edge"/>
          <c:yMode val="edge"/>
          <c:x val="0.2571311298716270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Sheet1!$B$21:$B$25</c:f>
              <c:strCache>
                <c:ptCount val="5"/>
                <c:pt idx="0">
                  <c:v>Customer_5</c:v>
                </c:pt>
                <c:pt idx="1">
                  <c:v>Customer_75</c:v>
                </c:pt>
                <c:pt idx="2">
                  <c:v>Customer_51</c:v>
                </c:pt>
                <c:pt idx="3">
                  <c:v>Customer_36</c:v>
                </c:pt>
                <c:pt idx="4">
                  <c:v>Customer_39</c:v>
                </c:pt>
              </c:strCache>
            </c:strRef>
          </c:cat>
          <c:val>
            <c:numRef>
              <c:f>Sheet1!$C$21:$C$25</c:f>
              <c:numCache>
                <c:formatCode>"$"#,##0.00</c:formatCode>
                <c:ptCount val="5"/>
                <c:pt idx="0">
                  <c:v>316.22000000000003</c:v>
                </c:pt>
                <c:pt idx="1">
                  <c:v>280.49</c:v>
                </c:pt>
                <c:pt idx="2">
                  <c:v>249.83</c:v>
                </c:pt>
                <c:pt idx="3">
                  <c:v>236.20999999999998</c:v>
                </c:pt>
                <c:pt idx="4">
                  <c:v>224.42000000000002</c:v>
                </c:pt>
              </c:numCache>
            </c:numRef>
          </c:val>
          <c:extLst>
            <c:ext xmlns:c16="http://schemas.microsoft.com/office/drawing/2014/chart" uri="{C3380CC4-5D6E-409C-BE32-E72D297353CC}">
              <c16:uniqueId val="{00000000-7D7B-4477-A47F-7592660D7712}"/>
            </c:ext>
          </c:extLst>
        </c:ser>
        <c:dLbls>
          <c:dLblPos val="outEnd"/>
          <c:showLegendKey val="0"/>
          <c:showVal val="1"/>
          <c:showCatName val="0"/>
          <c:showSerName val="0"/>
          <c:showPercent val="0"/>
          <c:showBubbleSize val="0"/>
        </c:dLbls>
        <c:gapWidth val="219"/>
        <c:overlap val="-27"/>
        <c:axId val="1309434479"/>
        <c:axId val="1309432559"/>
      </c:barChart>
      <c:catAx>
        <c:axId val="130943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432559"/>
        <c:crosses val="autoZero"/>
        <c:auto val="1"/>
        <c:lblAlgn val="ctr"/>
        <c:lblOffset val="100"/>
        <c:noMultiLvlLbl val="0"/>
      </c:catAx>
      <c:valAx>
        <c:axId val="1309432559"/>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434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[Done coffee_sales_dataset.xlsx]Sheet1!PivotTable3</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with the highest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860431367988E-2"/>
          <c:y val="0.18882663936902799"/>
          <c:w val="0.91761948846287644"/>
          <c:h val="0.72331650389038393"/>
        </c:manualLayout>
      </c:layout>
      <c:barChart>
        <c:barDir val="col"/>
        <c:grouping val="clustered"/>
        <c:varyColors val="0"/>
        <c:ser>
          <c:idx val="0"/>
          <c:order val="0"/>
          <c:tx>
            <c:strRef>
              <c:f>Sheet1!$C$37</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Sheet1!$B$38:$B$49</c:f>
              <c:strCache>
                <c:ptCount val="12"/>
                <c:pt idx="0">
                  <c:v>Apr</c:v>
                </c:pt>
                <c:pt idx="1">
                  <c:v>Jun</c:v>
                </c:pt>
                <c:pt idx="2">
                  <c:v>Sep</c:v>
                </c:pt>
                <c:pt idx="3">
                  <c:v>Oct</c:v>
                </c:pt>
                <c:pt idx="4">
                  <c:v>Dec</c:v>
                </c:pt>
                <c:pt idx="5">
                  <c:v>May</c:v>
                </c:pt>
                <c:pt idx="6">
                  <c:v>Feb</c:v>
                </c:pt>
                <c:pt idx="7">
                  <c:v>Aug</c:v>
                </c:pt>
                <c:pt idx="8">
                  <c:v>Nov</c:v>
                </c:pt>
                <c:pt idx="9">
                  <c:v>Jul</c:v>
                </c:pt>
                <c:pt idx="10">
                  <c:v>Jan</c:v>
                </c:pt>
                <c:pt idx="11">
                  <c:v>Mar</c:v>
                </c:pt>
              </c:strCache>
            </c:strRef>
          </c:cat>
          <c:val>
            <c:numRef>
              <c:f>Sheet1!$C$38:$C$49</c:f>
              <c:numCache>
                <c:formatCode>"$"#,##0.00</c:formatCode>
                <c:ptCount val="12"/>
                <c:pt idx="0">
                  <c:v>1108.2800000000002</c:v>
                </c:pt>
                <c:pt idx="1">
                  <c:v>1022.5199999999999</c:v>
                </c:pt>
                <c:pt idx="2">
                  <c:v>992.27</c:v>
                </c:pt>
                <c:pt idx="3">
                  <c:v>985.2199999999998</c:v>
                </c:pt>
                <c:pt idx="4">
                  <c:v>969.28</c:v>
                </c:pt>
                <c:pt idx="5">
                  <c:v>945.07999999999993</c:v>
                </c:pt>
                <c:pt idx="6">
                  <c:v>927.09999999999991</c:v>
                </c:pt>
                <c:pt idx="7">
                  <c:v>899.3300000000005</c:v>
                </c:pt>
                <c:pt idx="8">
                  <c:v>827.53</c:v>
                </c:pt>
                <c:pt idx="9">
                  <c:v>777.68</c:v>
                </c:pt>
                <c:pt idx="10">
                  <c:v>558.85</c:v>
                </c:pt>
                <c:pt idx="11">
                  <c:v>482.18000000000012</c:v>
                </c:pt>
              </c:numCache>
            </c:numRef>
          </c:val>
          <c:extLst>
            <c:ext xmlns:c16="http://schemas.microsoft.com/office/drawing/2014/chart" uri="{C3380CC4-5D6E-409C-BE32-E72D297353CC}">
              <c16:uniqueId val="{00000000-9997-4038-9815-1597A1DCDEBA}"/>
            </c:ext>
          </c:extLst>
        </c:ser>
        <c:dLbls>
          <c:dLblPos val="outEnd"/>
          <c:showLegendKey val="0"/>
          <c:showVal val="1"/>
          <c:showCatName val="0"/>
          <c:showSerName val="0"/>
          <c:showPercent val="0"/>
          <c:showBubbleSize val="0"/>
        </c:dLbls>
        <c:gapWidth val="219"/>
        <c:overlap val="-27"/>
        <c:axId val="1095218527"/>
        <c:axId val="1095219967"/>
      </c:barChart>
      <c:catAx>
        <c:axId val="109521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219967"/>
        <c:crosses val="autoZero"/>
        <c:auto val="1"/>
        <c:lblAlgn val="ctr"/>
        <c:lblOffset val="100"/>
        <c:noMultiLvlLbl val="0"/>
      </c:catAx>
      <c:valAx>
        <c:axId val="109521996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21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[Done coffee_sales_dataset.xlsx]Sheet1!PivotTable1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Sheet1!$B$4:$B$10</c:f>
              <c:strCache>
                <c:ptCount val="7"/>
                <c:pt idx="0">
                  <c:v>Australia</c:v>
                </c:pt>
                <c:pt idx="1">
                  <c:v>UK</c:v>
                </c:pt>
                <c:pt idx="2">
                  <c:v>USA</c:v>
                </c:pt>
                <c:pt idx="3">
                  <c:v>France</c:v>
                </c:pt>
                <c:pt idx="4">
                  <c:v>Canada</c:v>
                </c:pt>
                <c:pt idx="5">
                  <c:v>Germany</c:v>
                </c:pt>
                <c:pt idx="6">
                  <c:v>U.K.</c:v>
                </c:pt>
              </c:strCache>
            </c:strRef>
          </c:cat>
          <c:val>
            <c:numRef>
              <c:f>Sheet1!$C$4:$C$10</c:f>
              <c:numCache>
                <c:formatCode>"$"#,##0.00;[Red]"$"#,##0.00</c:formatCode>
                <c:ptCount val="7"/>
                <c:pt idx="0">
                  <c:v>1846.9799999999998</c:v>
                </c:pt>
                <c:pt idx="1">
                  <c:v>1816.4600000000003</c:v>
                </c:pt>
                <c:pt idx="2">
                  <c:v>1806.3999999999999</c:v>
                </c:pt>
                <c:pt idx="3">
                  <c:v>1730.97</c:v>
                </c:pt>
                <c:pt idx="4">
                  <c:v>1626.2700000000002</c:v>
                </c:pt>
                <c:pt idx="5">
                  <c:v>1569.0100000000002</c:v>
                </c:pt>
                <c:pt idx="6">
                  <c:v>99.23</c:v>
                </c:pt>
              </c:numCache>
            </c:numRef>
          </c:val>
          <c:extLst>
            <c:ext xmlns:c16="http://schemas.microsoft.com/office/drawing/2014/chart" uri="{C3380CC4-5D6E-409C-BE32-E72D297353CC}">
              <c16:uniqueId val="{00000000-33E6-4F09-8E98-CE41E72C8689}"/>
            </c:ext>
          </c:extLst>
        </c:ser>
        <c:dLbls>
          <c:dLblPos val="outEnd"/>
          <c:showLegendKey val="0"/>
          <c:showVal val="1"/>
          <c:showCatName val="0"/>
          <c:showSerName val="0"/>
          <c:showPercent val="0"/>
          <c:showBubbleSize val="0"/>
        </c:dLbls>
        <c:gapWidth val="219"/>
        <c:overlap val="-27"/>
        <c:axId val="1150661551"/>
        <c:axId val="1150668751"/>
      </c:barChart>
      <c:catAx>
        <c:axId val="115066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668751"/>
        <c:crosses val="autoZero"/>
        <c:auto val="1"/>
        <c:lblAlgn val="ctr"/>
        <c:lblOffset val="100"/>
        <c:noMultiLvlLbl val="0"/>
      </c:catAx>
      <c:valAx>
        <c:axId val="1150668751"/>
        <c:scaling>
          <c:orientation val="minMax"/>
        </c:scaling>
        <c:delete val="0"/>
        <c:axPos val="l"/>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661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[Done coffee_sales_dataset.xlsx]Sheet1!PivotTable2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 by total purchase value</a:t>
            </a:r>
          </a:p>
        </c:rich>
      </c:tx>
      <c:layout>
        <c:manualLayout>
          <c:xMode val="edge"/>
          <c:yMode val="edge"/>
          <c:x val="0.2571311298716270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Sheet1!$B$21:$B$25</c:f>
              <c:strCache>
                <c:ptCount val="5"/>
                <c:pt idx="0">
                  <c:v>Customer_5</c:v>
                </c:pt>
                <c:pt idx="1">
                  <c:v>Customer_75</c:v>
                </c:pt>
                <c:pt idx="2">
                  <c:v>Customer_51</c:v>
                </c:pt>
                <c:pt idx="3">
                  <c:v>Customer_36</c:v>
                </c:pt>
                <c:pt idx="4">
                  <c:v>Customer_39</c:v>
                </c:pt>
              </c:strCache>
            </c:strRef>
          </c:cat>
          <c:val>
            <c:numRef>
              <c:f>Sheet1!$C$21:$C$25</c:f>
              <c:numCache>
                <c:formatCode>"$"#,##0.00</c:formatCode>
                <c:ptCount val="5"/>
                <c:pt idx="0">
                  <c:v>316.22000000000003</c:v>
                </c:pt>
                <c:pt idx="1">
                  <c:v>280.49</c:v>
                </c:pt>
                <c:pt idx="2">
                  <c:v>249.83</c:v>
                </c:pt>
                <c:pt idx="3">
                  <c:v>236.20999999999998</c:v>
                </c:pt>
                <c:pt idx="4">
                  <c:v>224.42000000000002</c:v>
                </c:pt>
              </c:numCache>
            </c:numRef>
          </c:val>
          <c:extLst>
            <c:ext xmlns:c16="http://schemas.microsoft.com/office/drawing/2014/chart" uri="{C3380CC4-5D6E-409C-BE32-E72D297353CC}">
              <c16:uniqueId val="{00000000-C679-453A-8D8F-F3A56E23A020}"/>
            </c:ext>
          </c:extLst>
        </c:ser>
        <c:dLbls>
          <c:dLblPos val="outEnd"/>
          <c:showLegendKey val="0"/>
          <c:showVal val="1"/>
          <c:showCatName val="0"/>
          <c:showSerName val="0"/>
          <c:showPercent val="0"/>
          <c:showBubbleSize val="0"/>
        </c:dLbls>
        <c:gapWidth val="219"/>
        <c:overlap val="-27"/>
        <c:axId val="1309434479"/>
        <c:axId val="1309432559"/>
      </c:barChart>
      <c:catAx>
        <c:axId val="130943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432559"/>
        <c:crosses val="autoZero"/>
        <c:auto val="1"/>
        <c:lblAlgn val="ctr"/>
        <c:lblOffset val="100"/>
        <c:noMultiLvlLbl val="0"/>
      </c:catAx>
      <c:valAx>
        <c:axId val="1309432559"/>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434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[Done coffee_sales_dataset.xlsx]Sheet1!PivotTable3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with the highest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Sheet1!$C$37</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Sheet1!$B$38:$B$49</c:f>
              <c:strCache>
                <c:ptCount val="12"/>
                <c:pt idx="0">
                  <c:v>Apr</c:v>
                </c:pt>
                <c:pt idx="1">
                  <c:v>Jun</c:v>
                </c:pt>
                <c:pt idx="2">
                  <c:v>Sep</c:v>
                </c:pt>
                <c:pt idx="3">
                  <c:v>Oct</c:v>
                </c:pt>
                <c:pt idx="4">
                  <c:v>Dec</c:v>
                </c:pt>
                <c:pt idx="5">
                  <c:v>May</c:v>
                </c:pt>
                <c:pt idx="6">
                  <c:v>Feb</c:v>
                </c:pt>
                <c:pt idx="7">
                  <c:v>Aug</c:v>
                </c:pt>
                <c:pt idx="8">
                  <c:v>Nov</c:v>
                </c:pt>
                <c:pt idx="9">
                  <c:v>Jul</c:v>
                </c:pt>
                <c:pt idx="10">
                  <c:v>Jan</c:v>
                </c:pt>
                <c:pt idx="11">
                  <c:v>Mar</c:v>
                </c:pt>
              </c:strCache>
            </c:strRef>
          </c:cat>
          <c:val>
            <c:numRef>
              <c:f>Sheet1!$C$38:$C$49</c:f>
              <c:numCache>
                <c:formatCode>"$"#,##0.00</c:formatCode>
                <c:ptCount val="12"/>
                <c:pt idx="0">
                  <c:v>1108.2800000000002</c:v>
                </c:pt>
                <c:pt idx="1">
                  <c:v>1022.5199999999999</c:v>
                </c:pt>
                <c:pt idx="2">
                  <c:v>992.27</c:v>
                </c:pt>
                <c:pt idx="3">
                  <c:v>985.2199999999998</c:v>
                </c:pt>
                <c:pt idx="4">
                  <c:v>969.28</c:v>
                </c:pt>
                <c:pt idx="5">
                  <c:v>945.07999999999993</c:v>
                </c:pt>
                <c:pt idx="6">
                  <c:v>927.09999999999991</c:v>
                </c:pt>
                <c:pt idx="7">
                  <c:v>899.3300000000005</c:v>
                </c:pt>
                <c:pt idx="8">
                  <c:v>827.53</c:v>
                </c:pt>
                <c:pt idx="9">
                  <c:v>777.68</c:v>
                </c:pt>
                <c:pt idx="10">
                  <c:v>558.85</c:v>
                </c:pt>
                <c:pt idx="11">
                  <c:v>482.18000000000012</c:v>
                </c:pt>
              </c:numCache>
            </c:numRef>
          </c:val>
          <c:smooth val="0"/>
          <c:extLst>
            <c:ext xmlns:c16="http://schemas.microsoft.com/office/drawing/2014/chart" uri="{C3380CC4-5D6E-409C-BE32-E72D297353CC}">
              <c16:uniqueId val="{00000000-3050-40AE-8878-2486FC4A35B6}"/>
            </c:ext>
          </c:extLst>
        </c:ser>
        <c:dLbls>
          <c:showLegendKey val="0"/>
          <c:showVal val="1"/>
          <c:showCatName val="0"/>
          <c:showSerName val="0"/>
          <c:showPercent val="0"/>
          <c:showBubbleSize val="0"/>
        </c:dLbls>
        <c:marker val="1"/>
        <c:smooth val="0"/>
        <c:axId val="1095218527"/>
        <c:axId val="1095219967"/>
      </c:lineChart>
      <c:catAx>
        <c:axId val="109521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219967"/>
        <c:crosses val="autoZero"/>
        <c:auto val="1"/>
        <c:lblAlgn val="ctr"/>
        <c:lblOffset val="100"/>
        <c:noMultiLvlLbl val="0"/>
      </c:catAx>
      <c:valAx>
        <c:axId val="109521996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21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[Done coffee_sales_dataset.xlsx]Sheet1!PivotTable5</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sales channel generated more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Sheet1!$F$57:$F$60</c:f>
              <c:strCache>
                <c:ptCount val="3"/>
                <c:pt idx="0">
                  <c:v>Online</c:v>
                </c:pt>
                <c:pt idx="1">
                  <c:v>Online </c:v>
                </c:pt>
                <c:pt idx="2">
                  <c:v>Retail</c:v>
                </c:pt>
              </c:strCache>
            </c:strRef>
          </c:cat>
          <c:val>
            <c:numRef>
              <c:f>Sheet1!$G$57:$G$60</c:f>
              <c:numCache>
                <c:formatCode>"$"#,##0.00</c:formatCode>
                <c:ptCount val="3"/>
                <c:pt idx="0">
                  <c:v>5482.6100000000006</c:v>
                </c:pt>
                <c:pt idx="1">
                  <c:v>66.22</c:v>
                </c:pt>
                <c:pt idx="2">
                  <c:v>4946.4900000000007</c:v>
                </c:pt>
              </c:numCache>
            </c:numRef>
          </c:val>
          <c:extLst>
            <c:ext xmlns:c16="http://schemas.microsoft.com/office/drawing/2014/chart" uri="{C3380CC4-5D6E-409C-BE32-E72D297353CC}">
              <c16:uniqueId val="{00000000-F9E6-48DD-9525-0B75F8D3CEC8}"/>
            </c:ext>
          </c:extLst>
        </c:ser>
        <c:dLbls>
          <c:dLblPos val="outEnd"/>
          <c:showLegendKey val="0"/>
          <c:showVal val="1"/>
          <c:showCatName val="0"/>
          <c:showSerName val="0"/>
          <c:showPercent val="0"/>
          <c:showBubbleSize val="0"/>
        </c:dLbls>
        <c:gapWidth val="219"/>
        <c:overlap val="-27"/>
        <c:axId val="1406213087"/>
        <c:axId val="1406213567"/>
      </c:barChart>
      <c:catAx>
        <c:axId val="140621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213567"/>
        <c:crosses val="autoZero"/>
        <c:auto val="1"/>
        <c:lblAlgn val="ctr"/>
        <c:lblOffset val="100"/>
        <c:noMultiLvlLbl val="0"/>
      </c:catAx>
      <c:valAx>
        <c:axId val="140621356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213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[Done coffee_sales_dataset.xlsx]Sheet1!PivotTable4</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Sheet1!$G$75:$G$76</c:f>
              <c:strCache>
                <c:ptCount val="1"/>
                <c:pt idx="0">
                  <c:v>Online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04-44D8-9F41-1CA8BC408D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04-44D8-9F41-1CA8BC408D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04-44D8-9F41-1CA8BC408D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04-44D8-9F41-1CA8BC408D6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04-44D8-9F41-1CA8BC408D6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B04-44D8-9F41-1CA8BC408D6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B04-44D8-9F41-1CA8BC408D6B}"/>
              </c:ext>
            </c:extLst>
          </c:dPt>
          <c:cat>
            <c:strRef>
              <c:f>Sheet1!$F$77:$F$84</c:f>
              <c:strCache>
                <c:ptCount val="7"/>
                <c:pt idx="0">
                  <c:v>Australia</c:v>
                </c:pt>
                <c:pt idx="1">
                  <c:v>UK</c:v>
                </c:pt>
                <c:pt idx="2">
                  <c:v>USA</c:v>
                </c:pt>
                <c:pt idx="3">
                  <c:v>France</c:v>
                </c:pt>
                <c:pt idx="4">
                  <c:v>Canada</c:v>
                </c:pt>
                <c:pt idx="5">
                  <c:v>Germany</c:v>
                </c:pt>
                <c:pt idx="6">
                  <c:v>U.K.</c:v>
                </c:pt>
              </c:strCache>
            </c:strRef>
          </c:cat>
          <c:val>
            <c:numRef>
              <c:f>Sheet1!$G$77:$G$84</c:f>
              <c:numCache>
                <c:formatCode>0.00%</c:formatCode>
                <c:ptCount val="7"/>
                <c:pt idx="0">
                  <c:v>0.56360025820851445</c:v>
                </c:pt>
                <c:pt idx="1">
                  <c:v>0.53811809783865328</c:v>
                </c:pt>
                <c:pt idx="2">
                  <c:v>0.43936654093632116</c:v>
                </c:pt>
                <c:pt idx="3">
                  <c:v>0.57640481904975316</c:v>
                </c:pt>
                <c:pt idx="4">
                  <c:v>0.50207992088265296</c:v>
                </c:pt>
                <c:pt idx="5">
                  <c:v>0.53731971115544208</c:v>
                </c:pt>
                <c:pt idx="6">
                  <c:v>0.50387987503779108</c:v>
                </c:pt>
              </c:numCache>
            </c:numRef>
          </c:val>
          <c:extLst>
            <c:ext xmlns:c16="http://schemas.microsoft.com/office/drawing/2014/chart" uri="{C3380CC4-5D6E-409C-BE32-E72D297353CC}">
              <c16:uniqueId val="{00000000-4B98-41D7-9502-7C9D056C65E0}"/>
            </c:ext>
          </c:extLst>
        </c:ser>
        <c:ser>
          <c:idx val="1"/>
          <c:order val="1"/>
          <c:tx>
            <c:strRef>
              <c:f>Sheet1!$H$75:$H$76</c:f>
              <c:strCache>
                <c:ptCount val="1"/>
                <c:pt idx="0">
                  <c:v>Retail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8B04-44D8-9F41-1CA8BC408D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8B04-44D8-9F41-1CA8BC408D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8B04-44D8-9F41-1CA8BC408D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5-8B04-44D8-9F41-1CA8BC408D6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7-8B04-44D8-9F41-1CA8BC408D6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9-8B04-44D8-9F41-1CA8BC408D6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B-8B04-44D8-9F41-1CA8BC408D6B}"/>
              </c:ext>
            </c:extLst>
          </c:dPt>
          <c:cat>
            <c:strRef>
              <c:f>Sheet1!$F$77:$F$84</c:f>
              <c:strCache>
                <c:ptCount val="7"/>
                <c:pt idx="0">
                  <c:v>Australia</c:v>
                </c:pt>
                <c:pt idx="1">
                  <c:v>UK</c:v>
                </c:pt>
                <c:pt idx="2">
                  <c:v>USA</c:v>
                </c:pt>
                <c:pt idx="3">
                  <c:v>France</c:v>
                </c:pt>
                <c:pt idx="4">
                  <c:v>Canada</c:v>
                </c:pt>
                <c:pt idx="5">
                  <c:v>Germany</c:v>
                </c:pt>
                <c:pt idx="6">
                  <c:v>U.K.</c:v>
                </c:pt>
              </c:strCache>
            </c:strRef>
          </c:cat>
          <c:val>
            <c:numRef>
              <c:f>Sheet1!$H$77:$H$84</c:f>
              <c:numCache>
                <c:formatCode>0.00%</c:formatCode>
                <c:ptCount val="7"/>
                <c:pt idx="0">
                  <c:v>0.43639974179148561</c:v>
                </c:pt>
                <c:pt idx="1">
                  <c:v>0.46188190216134672</c:v>
                </c:pt>
                <c:pt idx="2">
                  <c:v>0.56063345906367879</c:v>
                </c:pt>
                <c:pt idx="3">
                  <c:v>0.4235951809502469</c:v>
                </c:pt>
                <c:pt idx="4">
                  <c:v>0.49792007911734709</c:v>
                </c:pt>
                <c:pt idx="5">
                  <c:v>0.46268028884455792</c:v>
                </c:pt>
                <c:pt idx="6">
                  <c:v>0.49612012496220903</c:v>
                </c:pt>
              </c:numCache>
            </c:numRef>
          </c:val>
          <c:extLst>
            <c:ext xmlns:c16="http://schemas.microsoft.com/office/drawing/2014/chart" uri="{C3380CC4-5D6E-409C-BE32-E72D297353CC}">
              <c16:uniqueId val="{00000005-4B98-41D7-9502-7C9D056C65E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[Done coffee_sales_dataset.xlsx]Sheet1!PivotTable5</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Sheet1!$G$56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Sheet1!$F$57:$F$60</c:f>
              <c:strCache>
                <c:ptCount val="3"/>
                <c:pt idx="0">
                  <c:v>Online</c:v>
                </c:pt>
                <c:pt idx="1">
                  <c:v>Online </c:v>
                </c:pt>
                <c:pt idx="2">
                  <c:v>Retail</c:v>
                </c:pt>
              </c:strCache>
            </c:strRef>
          </c:cat>
          <c:val>
            <c:numRef>
              <c:f>Sheet1!$G$57:$G$60</c:f>
              <c:numCache>
                <c:formatCode>"$"#,##0.00</c:formatCode>
                <c:ptCount val="3"/>
                <c:pt idx="0">
                  <c:v>5482.6100000000006</c:v>
                </c:pt>
                <c:pt idx="1">
                  <c:v>66.22</c:v>
                </c:pt>
                <c:pt idx="2">
                  <c:v>4946.4900000000007</c:v>
                </c:pt>
              </c:numCache>
            </c:numRef>
          </c:val>
          <c:smooth val="0"/>
          <c:extLst>
            <c:ext xmlns:c16="http://schemas.microsoft.com/office/drawing/2014/chart" uri="{C3380CC4-5D6E-409C-BE32-E72D297353CC}">
              <c16:uniqueId val="{00000000-555A-4F5B-86B9-701882748955}"/>
            </c:ext>
          </c:extLst>
        </c:ser>
        <c:dLbls>
          <c:showLegendKey val="0"/>
          <c:showVal val="0"/>
          <c:showCatName val="0"/>
          <c:showSerName val="0"/>
          <c:showPercent val="0"/>
          <c:showBubbleSize val="0"/>
        </c:dLbls>
        <c:marker val="1"/>
        <c:smooth val="0"/>
        <c:axId val="1122583360"/>
        <c:axId val="1122584320"/>
      </c:lineChart>
      <c:catAx>
        <c:axId val="112258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584320"/>
        <c:crosses val="autoZero"/>
        <c:auto val="1"/>
        <c:lblAlgn val="ctr"/>
        <c:lblOffset val="100"/>
        <c:noMultiLvlLbl val="0"/>
      </c:catAx>
      <c:valAx>
        <c:axId val="1122584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58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[Done coffee_sales_dataset.xlsx]Sheet1!PivotTable8</c:name>
    <c:fmtId val="4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Sheet1!$M$134:$M$135</c:f>
              <c:strCache>
                <c:ptCount val="1"/>
                <c:pt idx="0">
                  <c:v>Online</c:v>
                </c:pt>
              </c:strCache>
            </c:strRef>
          </c:tx>
          <c:spPr>
            <a:solidFill>
              <a:schemeClr val="accent1"/>
            </a:solidFill>
            <a:ln>
              <a:noFill/>
            </a:ln>
            <a:effectLst/>
          </c:spPr>
          <c:invertIfNegative val="0"/>
          <c:cat>
            <c:strRef>
              <c:f>Sheet1!$L$136:$L$146</c:f>
              <c:strCache>
                <c:ptCount val="10"/>
                <c:pt idx="0">
                  <c:v>Customer_5</c:v>
                </c:pt>
                <c:pt idx="1">
                  <c:v>Customer_75</c:v>
                </c:pt>
                <c:pt idx="2">
                  <c:v>Customer_51</c:v>
                </c:pt>
                <c:pt idx="3">
                  <c:v>Customer_36</c:v>
                </c:pt>
                <c:pt idx="4">
                  <c:v>Customer_47</c:v>
                </c:pt>
                <c:pt idx="5">
                  <c:v>Customer_19</c:v>
                </c:pt>
                <c:pt idx="6">
                  <c:v>Customer_12</c:v>
                </c:pt>
                <c:pt idx="7">
                  <c:v>Customer_17</c:v>
                </c:pt>
                <c:pt idx="8">
                  <c:v>Customer_62</c:v>
                </c:pt>
                <c:pt idx="9">
                  <c:v>Customer_14</c:v>
                </c:pt>
              </c:strCache>
            </c:strRef>
          </c:cat>
          <c:val>
            <c:numRef>
              <c:f>Sheet1!$M$136:$M$146</c:f>
              <c:numCache>
                <c:formatCode>"$"#,##0.00</c:formatCode>
                <c:ptCount val="10"/>
                <c:pt idx="0">
                  <c:v>228.66000000000003</c:v>
                </c:pt>
                <c:pt idx="1">
                  <c:v>161.19999999999999</c:v>
                </c:pt>
                <c:pt idx="2">
                  <c:v>161.25</c:v>
                </c:pt>
                <c:pt idx="3">
                  <c:v>72.94</c:v>
                </c:pt>
                <c:pt idx="4">
                  <c:v>49.14</c:v>
                </c:pt>
                <c:pt idx="5">
                  <c:v>138.57</c:v>
                </c:pt>
                <c:pt idx="6">
                  <c:v>112.94999999999999</c:v>
                </c:pt>
                <c:pt idx="7">
                  <c:v>129.09</c:v>
                </c:pt>
                <c:pt idx="8">
                  <c:v>85.38</c:v>
                </c:pt>
                <c:pt idx="9">
                  <c:v>202.57999999999998</c:v>
                </c:pt>
              </c:numCache>
            </c:numRef>
          </c:val>
          <c:extLst>
            <c:ext xmlns:c16="http://schemas.microsoft.com/office/drawing/2014/chart" uri="{C3380CC4-5D6E-409C-BE32-E72D297353CC}">
              <c16:uniqueId val="{00000000-CD43-4BFC-893B-47EB48771CC6}"/>
            </c:ext>
          </c:extLst>
        </c:ser>
        <c:ser>
          <c:idx val="1"/>
          <c:order val="1"/>
          <c:tx>
            <c:strRef>
              <c:f>Sheet1!$N$134:$N$135</c:f>
              <c:strCache>
                <c:ptCount val="1"/>
                <c:pt idx="0">
                  <c:v>Retail</c:v>
                </c:pt>
              </c:strCache>
            </c:strRef>
          </c:tx>
          <c:spPr>
            <a:solidFill>
              <a:schemeClr val="accent2"/>
            </a:solidFill>
            <a:ln>
              <a:noFill/>
            </a:ln>
            <a:effectLst/>
          </c:spPr>
          <c:invertIfNegative val="0"/>
          <c:cat>
            <c:strRef>
              <c:f>Sheet1!$L$136:$L$146</c:f>
              <c:strCache>
                <c:ptCount val="10"/>
                <c:pt idx="0">
                  <c:v>Customer_5</c:v>
                </c:pt>
                <c:pt idx="1">
                  <c:v>Customer_75</c:v>
                </c:pt>
                <c:pt idx="2">
                  <c:v>Customer_51</c:v>
                </c:pt>
                <c:pt idx="3">
                  <c:v>Customer_36</c:v>
                </c:pt>
                <c:pt idx="4">
                  <c:v>Customer_47</c:v>
                </c:pt>
                <c:pt idx="5">
                  <c:v>Customer_19</c:v>
                </c:pt>
                <c:pt idx="6">
                  <c:v>Customer_12</c:v>
                </c:pt>
                <c:pt idx="7">
                  <c:v>Customer_17</c:v>
                </c:pt>
                <c:pt idx="8">
                  <c:v>Customer_62</c:v>
                </c:pt>
                <c:pt idx="9">
                  <c:v>Customer_14</c:v>
                </c:pt>
              </c:strCache>
            </c:strRef>
          </c:cat>
          <c:val>
            <c:numRef>
              <c:f>Sheet1!$N$136:$N$146</c:f>
              <c:numCache>
                <c:formatCode>"$"#,##0.00</c:formatCode>
                <c:ptCount val="10"/>
                <c:pt idx="0">
                  <c:v>87.56</c:v>
                </c:pt>
                <c:pt idx="1">
                  <c:v>119.29</c:v>
                </c:pt>
                <c:pt idx="2">
                  <c:v>88.58</c:v>
                </c:pt>
                <c:pt idx="3">
                  <c:v>163.27000000000001</c:v>
                </c:pt>
                <c:pt idx="4">
                  <c:v>168.9</c:v>
                </c:pt>
                <c:pt idx="5">
                  <c:v>76.97</c:v>
                </c:pt>
                <c:pt idx="6">
                  <c:v>102.41</c:v>
                </c:pt>
                <c:pt idx="7">
                  <c:v>84.850000000000009</c:v>
                </c:pt>
                <c:pt idx="8">
                  <c:v>126.19</c:v>
                </c:pt>
                <c:pt idx="9">
                  <c:v>7.8</c:v>
                </c:pt>
              </c:numCache>
            </c:numRef>
          </c:val>
          <c:extLst>
            <c:ext xmlns:c16="http://schemas.microsoft.com/office/drawing/2014/chart" uri="{C3380CC4-5D6E-409C-BE32-E72D297353CC}">
              <c16:uniqueId val="{000000A8-CD43-4BFC-893B-47EB48771CC6}"/>
            </c:ext>
          </c:extLst>
        </c:ser>
        <c:dLbls>
          <c:showLegendKey val="0"/>
          <c:showVal val="0"/>
          <c:showCatName val="0"/>
          <c:showSerName val="0"/>
          <c:showPercent val="0"/>
          <c:showBubbleSize val="0"/>
        </c:dLbls>
        <c:gapWidth val="219"/>
        <c:overlap val="-27"/>
        <c:axId val="1244803504"/>
        <c:axId val="1244803984"/>
      </c:barChart>
      <c:catAx>
        <c:axId val="124480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803984"/>
        <c:crosses val="autoZero"/>
        <c:auto val="1"/>
        <c:lblAlgn val="ctr"/>
        <c:lblOffset val="100"/>
        <c:noMultiLvlLbl val="0"/>
      </c:catAx>
      <c:valAx>
        <c:axId val="1244803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80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19</xdr:col>
      <xdr:colOff>198438</xdr:colOff>
      <xdr:row>20</xdr:row>
      <xdr:rowOff>103187</xdr:rowOff>
    </xdr:from>
    <xdr:to>
      <xdr:col>26</xdr:col>
      <xdr:colOff>269876</xdr:colOff>
      <xdr:row>39</xdr:row>
      <xdr:rowOff>7937</xdr:rowOff>
    </xdr:to>
    <xdr:sp macro="" textlink="">
      <xdr:nvSpPr>
        <xdr:cNvPr id="14" name="Rectangle: Rounded Corners 13">
          <a:extLst>
            <a:ext uri="{FF2B5EF4-FFF2-40B4-BE49-F238E27FC236}">
              <a16:creationId xmlns:a16="http://schemas.microsoft.com/office/drawing/2014/main" id="{1FE7999B-4BEA-575A-734D-9A8397A17085}"/>
            </a:ext>
          </a:extLst>
        </xdr:cNvPr>
        <xdr:cNvSpPr/>
      </xdr:nvSpPr>
      <xdr:spPr>
        <a:xfrm>
          <a:off x="11811001" y="3754437"/>
          <a:ext cx="4349750" cy="337343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148940</xdr:colOff>
      <xdr:row>7</xdr:row>
      <xdr:rowOff>163286</xdr:rowOff>
    </xdr:from>
    <xdr:to>
      <xdr:col>19</xdr:col>
      <xdr:colOff>535215</xdr:colOff>
      <xdr:row>24</xdr:row>
      <xdr:rowOff>72571</xdr:rowOff>
    </xdr:to>
    <xdr:graphicFrame macro="">
      <xdr:nvGraphicFramePr>
        <xdr:cNvPr id="3" name="Chart 2">
          <a:extLst>
            <a:ext uri="{FF2B5EF4-FFF2-40B4-BE49-F238E27FC236}">
              <a16:creationId xmlns:a16="http://schemas.microsoft.com/office/drawing/2014/main" id="{080754CF-5669-48F3-B86E-4D7810D19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135168</xdr:colOff>
      <xdr:row>21</xdr:row>
      <xdr:rowOff>81643</xdr:rowOff>
    </xdr:from>
    <xdr:to>
      <xdr:col>19</xdr:col>
      <xdr:colOff>519375</xdr:colOff>
      <xdr:row>38</xdr:row>
      <xdr:rowOff>66190</xdr:rowOff>
    </xdr:to>
    <xdr:graphicFrame macro="">
      <xdr:nvGraphicFramePr>
        <xdr:cNvPr id="5" name="Chart 4">
          <a:extLst>
            <a:ext uri="{FF2B5EF4-FFF2-40B4-BE49-F238E27FC236}">
              <a16:creationId xmlns:a16="http://schemas.microsoft.com/office/drawing/2014/main" id="{E0D87D47-BB69-4BA5-BB86-0ECDE1B19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526143</xdr:colOff>
      <xdr:row>5</xdr:row>
      <xdr:rowOff>9074</xdr:rowOff>
    </xdr:from>
    <xdr:to>
      <xdr:col>26</xdr:col>
      <xdr:colOff>435429</xdr:colOff>
      <xdr:row>21</xdr:row>
      <xdr:rowOff>108859</xdr:rowOff>
    </xdr:to>
    <xdr:graphicFrame macro="">
      <xdr:nvGraphicFramePr>
        <xdr:cNvPr id="6" name="Chart 5">
          <a:extLst>
            <a:ext uri="{FF2B5EF4-FFF2-40B4-BE49-F238E27FC236}">
              <a16:creationId xmlns:a16="http://schemas.microsoft.com/office/drawing/2014/main" id="{CFD6A1D7-648C-44E5-8AA4-2ABBFD9CC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551089</xdr:colOff>
      <xdr:row>21</xdr:row>
      <xdr:rowOff>167823</xdr:rowOff>
    </xdr:from>
    <xdr:to>
      <xdr:col>26</xdr:col>
      <xdr:colOff>194168</xdr:colOff>
      <xdr:row>31</xdr:row>
      <xdr:rowOff>-1</xdr:rowOff>
    </xdr:to>
    <xdr:sp macro="" textlink="">
      <xdr:nvSpPr>
        <xdr:cNvPr id="7" name="Rectangle: Rounded Corners 6">
          <a:extLst>
            <a:ext uri="{FF2B5EF4-FFF2-40B4-BE49-F238E27FC236}">
              <a16:creationId xmlns:a16="http://schemas.microsoft.com/office/drawing/2014/main" id="{DD230A7B-4E9B-CC8A-9BB6-9C3913F98CA3}"/>
            </a:ext>
          </a:extLst>
        </xdr:cNvPr>
        <xdr:cNvSpPr/>
      </xdr:nvSpPr>
      <xdr:spPr>
        <a:xfrm>
          <a:off x="12163652" y="4001636"/>
          <a:ext cx="3921391" cy="1657801"/>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82777</xdr:colOff>
      <xdr:row>22</xdr:row>
      <xdr:rowOff>77109</xdr:rowOff>
    </xdr:from>
    <xdr:to>
      <xdr:col>25</xdr:col>
      <xdr:colOff>538997</xdr:colOff>
      <xdr:row>24</xdr:row>
      <xdr:rowOff>143987</xdr:rowOff>
    </xdr:to>
    <xdr:sp macro="" textlink="">
      <xdr:nvSpPr>
        <xdr:cNvPr id="8" name="Rectangle: Rounded Corners 7">
          <a:extLst>
            <a:ext uri="{FF2B5EF4-FFF2-40B4-BE49-F238E27FC236}">
              <a16:creationId xmlns:a16="http://schemas.microsoft.com/office/drawing/2014/main" id="{EC847E50-3916-182C-AF60-A883235B7A5E}"/>
            </a:ext>
          </a:extLst>
        </xdr:cNvPr>
        <xdr:cNvSpPr/>
      </xdr:nvSpPr>
      <xdr:spPr>
        <a:xfrm>
          <a:off x="12306527" y="4093484"/>
          <a:ext cx="3512158" cy="432003"/>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Average quantity sold per order</a:t>
          </a:r>
        </a:p>
        <a:p>
          <a:pPr algn="l"/>
          <a:endParaRPr lang="en-US" sz="1800"/>
        </a:p>
      </xdr:txBody>
    </xdr:sp>
    <xdr:clientData/>
  </xdr:twoCellAnchor>
  <xdr:twoCellAnchor editAs="oneCell">
    <xdr:from>
      <xdr:col>20</xdr:col>
      <xdr:colOff>391208</xdr:colOff>
      <xdr:row>25</xdr:row>
      <xdr:rowOff>105456</xdr:rowOff>
    </xdr:from>
    <xdr:to>
      <xdr:col>25</xdr:col>
      <xdr:colOff>283020</xdr:colOff>
      <xdr:row>30</xdr:row>
      <xdr:rowOff>64101</xdr:rowOff>
    </xdr:to>
    <xdr:pic>
      <xdr:nvPicPr>
        <xdr:cNvPr id="9" name="Picture 8">
          <a:extLst>
            <a:ext uri="{FF2B5EF4-FFF2-40B4-BE49-F238E27FC236}">
              <a16:creationId xmlns:a16="http://schemas.microsoft.com/office/drawing/2014/main" id="{C672E02B-EA87-3B63-EAD4-D5F3CDCF348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614958" y="4669519"/>
          <a:ext cx="2947750" cy="871457"/>
        </a:xfrm>
        <a:prstGeom prst="rect">
          <a:avLst/>
        </a:prstGeom>
        <a:solidFill>
          <a:srgbClr val="FFFFFF">
            <a:shade val="85000"/>
          </a:srgbClr>
        </a:solidFill>
        <a:ln w="190500" cap="rnd">
          <a:solidFill>
            <a:srgbClr val="FFFFFF"/>
          </a:solidFill>
        </a:ln>
        <a:effectLst>
          <a:outerShdw blurRad="50000" algn="tl" rotWithShape="0">
            <a:srgbClr val="000000">
              <a:alpha val="41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twoCellAnchor>
    <xdr:from>
      <xdr:col>2</xdr:col>
      <xdr:colOff>79375</xdr:colOff>
      <xdr:row>20</xdr:row>
      <xdr:rowOff>163287</xdr:rowOff>
    </xdr:from>
    <xdr:to>
      <xdr:col>13</xdr:col>
      <xdr:colOff>146018</xdr:colOff>
      <xdr:row>38</xdr:row>
      <xdr:rowOff>13066</xdr:rowOff>
    </xdr:to>
    <xdr:graphicFrame macro="">
      <xdr:nvGraphicFramePr>
        <xdr:cNvPr id="10" name="Chart 9">
          <a:extLst>
            <a:ext uri="{FF2B5EF4-FFF2-40B4-BE49-F238E27FC236}">
              <a16:creationId xmlns:a16="http://schemas.microsoft.com/office/drawing/2014/main" id="{63056E53-FF8F-42EA-34C5-FD64D9DE4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158011</xdr:colOff>
      <xdr:row>5</xdr:row>
      <xdr:rowOff>54430</xdr:rowOff>
    </xdr:from>
    <xdr:to>
      <xdr:col>19</xdr:col>
      <xdr:colOff>544286</xdr:colOff>
      <xdr:row>21</xdr:row>
      <xdr:rowOff>145144</xdr:rowOff>
    </xdr:to>
    <xdr:graphicFrame macro="">
      <xdr:nvGraphicFramePr>
        <xdr:cNvPr id="11" name="Chart 10">
          <a:extLst>
            <a:ext uri="{FF2B5EF4-FFF2-40B4-BE49-F238E27FC236}">
              <a16:creationId xmlns:a16="http://schemas.microsoft.com/office/drawing/2014/main" id="{A8E10E9C-A754-FC41-0A01-DF62ABF87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45358</xdr:colOff>
      <xdr:row>5</xdr:row>
      <xdr:rowOff>11116</xdr:rowOff>
    </xdr:from>
    <xdr:to>
      <xdr:col>13</xdr:col>
      <xdr:colOff>147861</xdr:colOff>
      <xdr:row>20</xdr:row>
      <xdr:rowOff>174595</xdr:rowOff>
    </xdr:to>
    <xdr:graphicFrame macro="">
      <xdr:nvGraphicFramePr>
        <xdr:cNvPr id="12" name="Chart 11">
          <a:extLst>
            <a:ext uri="{FF2B5EF4-FFF2-40B4-BE49-F238E27FC236}">
              <a16:creationId xmlns:a16="http://schemas.microsoft.com/office/drawing/2014/main" id="{75A96ABA-E720-33EF-F15A-2E2585841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517071</xdr:colOff>
      <xdr:row>0</xdr:row>
      <xdr:rowOff>99785</xdr:rowOff>
    </xdr:from>
    <xdr:to>
      <xdr:col>20</xdr:col>
      <xdr:colOff>517072</xdr:colOff>
      <xdr:row>4</xdr:row>
      <xdr:rowOff>45357</xdr:rowOff>
    </xdr:to>
    <xdr:sp macro="" textlink="">
      <xdr:nvSpPr>
        <xdr:cNvPr id="13" name="Rectangle: Rounded Corners 12">
          <a:extLst>
            <a:ext uri="{FF2B5EF4-FFF2-40B4-BE49-F238E27FC236}">
              <a16:creationId xmlns:a16="http://schemas.microsoft.com/office/drawing/2014/main" id="{0D57E6F2-A147-FFF4-91A4-B7C6C5F4FA6F}"/>
            </a:ext>
          </a:extLst>
        </xdr:cNvPr>
        <xdr:cNvSpPr/>
      </xdr:nvSpPr>
      <xdr:spPr>
        <a:xfrm>
          <a:off x="3556000" y="99785"/>
          <a:ext cx="9116786" cy="671286"/>
        </a:xfrm>
        <a:prstGeom prst="roundRect">
          <a:avLst/>
        </a:prstGeom>
        <a:solidFill>
          <a:schemeClr val="bg1">
            <a:lumMod val="6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baseline="0">
              <a:solidFill>
                <a:schemeClr val="tx1">
                  <a:lumMod val="95000"/>
                  <a:lumOff val="5000"/>
                </a:schemeClr>
              </a:solidFill>
            </a:rPr>
            <a:t>simple dashboard</a:t>
          </a:r>
        </a:p>
      </xdr:txBody>
    </xdr:sp>
    <xdr:clientData/>
  </xdr:twoCellAnchor>
  <xdr:twoCellAnchor>
    <xdr:from>
      <xdr:col>19</xdr:col>
      <xdr:colOff>547687</xdr:colOff>
      <xdr:row>30</xdr:row>
      <xdr:rowOff>142874</xdr:rowOff>
    </xdr:from>
    <xdr:to>
      <xdr:col>26</xdr:col>
      <xdr:colOff>138364</xdr:colOff>
      <xdr:row>38</xdr:row>
      <xdr:rowOff>181893</xdr:rowOff>
    </xdr:to>
    <xdr:sp macro="" textlink="">
      <xdr:nvSpPr>
        <xdr:cNvPr id="15" name="Rectangle: Rounded Corners 14">
          <a:extLst>
            <a:ext uri="{FF2B5EF4-FFF2-40B4-BE49-F238E27FC236}">
              <a16:creationId xmlns:a16="http://schemas.microsoft.com/office/drawing/2014/main" id="{57629F4D-8495-2F85-97BE-5DDEC43377A8}"/>
            </a:ext>
          </a:extLst>
        </xdr:cNvPr>
        <xdr:cNvSpPr/>
      </xdr:nvSpPr>
      <xdr:spPr>
        <a:xfrm>
          <a:off x="12160250" y="5619749"/>
          <a:ext cx="3868989" cy="1499519"/>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587374</xdr:colOff>
      <xdr:row>31</xdr:row>
      <xdr:rowOff>15875</xdr:rowOff>
    </xdr:from>
    <xdr:to>
      <xdr:col>26</xdr:col>
      <xdr:colOff>3379</xdr:colOff>
      <xdr:row>38</xdr:row>
      <xdr:rowOff>120828</xdr:rowOff>
    </xdr:to>
    <xdr:sp macro="" textlink="">
      <xdr:nvSpPr>
        <xdr:cNvPr id="3074" name="Text Box 2">
          <a:extLst>
            <a:ext uri="{FF2B5EF4-FFF2-40B4-BE49-F238E27FC236}">
              <a16:creationId xmlns:a16="http://schemas.microsoft.com/office/drawing/2014/main" id="{C8E8BC2A-8558-6D38-68CA-AC1BAD2A0085}"/>
            </a:ext>
          </a:extLst>
        </xdr:cNvPr>
        <xdr:cNvSpPr txBox="1">
          <a:spLocks noChangeArrowheads="1"/>
        </xdr:cNvSpPr>
      </xdr:nvSpPr>
      <xdr:spPr bwMode="auto">
        <a:xfrm>
          <a:off x="12199937" y="5675313"/>
          <a:ext cx="3694317" cy="138289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Aptos Narrow"/>
            </a:rPr>
            <a:t>⦁ Month with the highest revenue was April and the sales dwindle since April.</a:t>
          </a:r>
        </a:p>
        <a:p>
          <a:pPr algn="l" rtl="0">
            <a:defRPr sz="1000"/>
          </a:pPr>
          <a:r>
            <a:rPr lang="en-US" sz="1200" b="0" i="0" u="none" strike="noStrike" baseline="0">
              <a:solidFill>
                <a:srgbClr val="000000"/>
              </a:solidFill>
              <a:latin typeface="Aptos Narrow"/>
            </a:rPr>
            <a:t>⦁ The Top 3 Customers uses the online channels to make bulk sales</a:t>
          </a:r>
        </a:p>
        <a:p>
          <a:pPr algn="l" rtl="0">
            <a:defRPr sz="1000"/>
          </a:pPr>
          <a:r>
            <a:rPr lang="en-US" sz="1200" b="0" i="0" u="none" strike="noStrike" baseline="0">
              <a:solidFill>
                <a:srgbClr val="000000"/>
              </a:solidFill>
              <a:latin typeface="Aptos Narrow"/>
            </a:rPr>
            <a:t>⦁ The Customer with the highest Purchase didn't make it by quantity.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196848</xdr:colOff>
      <xdr:row>1</xdr:row>
      <xdr:rowOff>127001</xdr:rowOff>
    </xdr:from>
    <xdr:to>
      <xdr:col>19</xdr:col>
      <xdr:colOff>34635</xdr:colOff>
      <xdr:row>13</xdr:row>
      <xdr:rowOff>115454</xdr:rowOff>
    </xdr:to>
    <xdr:graphicFrame macro="">
      <xdr:nvGraphicFramePr>
        <xdr:cNvPr id="2" name="Chart 1">
          <a:extLst>
            <a:ext uri="{FF2B5EF4-FFF2-40B4-BE49-F238E27FC236}">
              <a16:creationId xmlns:a16="http://schemas.microsoft.com/office/drawing/2014/main" id="{6C9F7AAC-2F9A-BC48-840F-3F2776436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269587</xdr:colOff>
      <xdr:row>17</xdr:row>
      <xdr:rowOff>33768</xdr:rowOff>
    </xdr:from>
    <xdr:to>
      <xdr:col>20</xdr:col>
      <xdr:colOff>207819</xdr:colOff>
      <xdr:row>31</xdr:row>
      <xdr:rowOff>103908</xdr:rowOff>
    </xdr:to>
    <xdr:graphicFrame macro="">
      <xdr:nvGraphicFramePr>
        <xdr:cNvPr id="3" name="Chart 2">
          <a:extLst>
            <a:ext uri="{FF2B5EF4-FFF2-40B4-BE49-F238E27FC236}">
              <a16:creationId xmlns:a16="http://schemas.microsoft.com/office/drawing/2014/main" id="{01F2D29C-A7B0-BF75-E3E1-9D2D5CBA6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5535</xdr:colOff>
      <xdr:row>34</xdr:row>
      <xdr:rowOff>87542</xdr:rowOff>
    </xdr:from>
    <xdr:to>
      <xdr:col>21</xdr:col>
      <xdr:colOff>127000</xdr:colOff>
      <xdr:row>47</xdr:row>
      <xdr:rowOff>34636</xdr:rowOff>
    </xdr:to>
    <xdr:graphicFrame macro="">
      <xdr:nvGraphicFramePr>
        <xdr:cNvPr id="4" name="Chart 3">
          <a:extLst>
            <a:ext uri="{FF2B5EF4-FFF2-40B4-BE49-F238E27FC236}">
              <a16:creationId xmlns:a16="http://schemas.microsoft.com/office/drawing/2014/main" id="{E59FB26D-DB1C-3FE7-D364-6A0542D98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317501</xdr:colOff>
      <xdr:row>54</xdr:row>
      <xdr:rowOff>106218</xdr:rowOff>
    </xdr:from>
    <xdr:to>
      <xdr:col>20</xdr:col>
      <xdr:colOff>236682</xdr:colOff>
      <xdr:row>69</xdr:row>
      <xdr:rowOff>78509</xdr:rowOff>
    </xdr:to>
    <xdr:graphicFrame macro="">
      <xdr:nvGraphicFramePr>
        <xdr:cNvPr id="5" name="Chart 4">
          <a:extLst>
            <a:ext uri="{FF2B5EF4-FFF2-40B4-BE49-F238E27FC236}">
              <a16:creationId xmlns:a16="http://schemas.microsoft.com/office/drawing/2014/main" id="{52BD2E9A-9FF3-4623-E5DA-F359EF9B2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529772</xdr:colOff>
      <xdr:row>90</xdr:row>
      <xdr:rowOff>122465</xdr:rowOff>
    </xdr:from>
    <xdr:to>
      <xdr:col>15</xdr:col>
      <xdr:colOff>361043</xdr:colOff>
      <xdr:row>104</xdr:row>
      <xdr:rowOff>163737</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F7D27613-FB10-0DC1-B4E6-4050F0B56CA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778343" y="16451036"/>
              <a:ext cx="1836057" cy="2581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304800</xdr:colOff>
      <xdr:row>100</xdr:row>
      <xdr:rowOff>63500</xdr:rowOff>
    </xdr:from>
    <xdr:to>
      <xdr:col>11</xdr:col>
      <xdr:colOff>371928</xdr:colOff>
      <xdr:row>114</xdr:row>
      <xdr:rowOff>104772</xdr:rowOff>
    </xdr:to>
    <mc:AlternateContent xmlns:mc="http://schemas.openxmlformats.org/markup-compatibility/2006" xmlns:a14="http://schemas.microsoft.com/office/drawing/2010/main">
      <mc:Choice Requires="a14">
        <xdr:graphicFrame macro="">
          <xdr:nvGraphicFramePr>
            <xdr:cNvPr id="7" name="Country 1">
              <a:extLst>
                <a:ext uri="{FF2B5EF4-FFF2-40B4-BE49-F238E27FC236}">
                  <a16:creationId xmlns:a16="http://schemas.microsoft.com/office/drawing/2014/main" id="{BB8BF8A1-FA8B-90F9-F162-F183469189D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632371" y="18206357"/>
              <a:ext cx="1836057" cy="2581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113392</xdr:colOff>
      <xdr:row>70</xdr:row>
      <xdr:rowOff>120649</xdr:rowOff>
    </xdr:from>
    <xdr:to>
      <xdr:col>22</xdr:col>
      <xdr:colOff>36285</xdr:colOff>
      <xdr:row>88</xdr:row>
      <xdr:rowOff>108856</xdr:rowOff>
    </xdr:to>
    <xdr:graphicFrame macro="">
      <xdr:nvGraphicFramePr>
        <xdr:cNvPr id="8" name="Chart 7">
          <a:extLst>
            <a:ext uri="{FF2B5EF4-FFF2-40B4-BE49-F238E27FC236}">
              <a16:creationId xmlns:a16="http://schemas.microsoft.com/office/drawing/2014/main" id="{CA7ABC44-544A-2B56-0EC6-7D3C2D2CA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181429</xdr:colOff>
      <xdr:row>47</xdr:row>
      <xdr:rowOff>57149</xdr:rowOff>
    </xdr:from>
    <xdr:to>
      <xdr:col>17</xdr:col>
      <xdr:colOff>399144</xdr:colOff>
      <xdr:row>62</xdr:row>
      <xdr:rowOff>78921</xdr:rowOff>
    </xdr:to>
    <xdr:graphicFrame macro="">
      <xdr:nvGraphicFramePr>
        <xdr:cNvPr id="9" name="Chart 8">
          <a:extLst>
            <a:ext uri="{FF2B5EF4-FFF2-40B4-BE49-F238E27FC236}">
              <a16:creationId xmlns:a16="http://schemas.microsoft.com/office/drawing/2014/main" id="{C9DC4EE2-EF66-8BA6-A35A-E674C6B58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562428</xdr:colOff>
      <xdr:row>147</xdr:row>
      <xdr:rowOff>111579</xdr:rowOff>
    </xdr:from>
    <xdr:to>
      <xdr:col>18</xdr:col>
      <xdr:colOff>290285</xdr:colOff>
      <xdr:row>162</xdr:row>
      <xdr:rowOff>133350</xdr:rowOff>
    </xdr:to>
    <xdr:graphicFrame macro="">
      <xdr:nvGraphicFramePr>
        <xdr:cNvPr id="10" name="Chart 9">
          <a:extLst>
            <a:ext uri="{FF2B5EF4-FFF2-40B4-BE49-F238E27FC236}">
              <a16:creationId xmlns:a16="http://schemas.microsoft.com/office/drawing/2014/main" id="{8FB2E7FF-64CA-7020-BEE6-A46B4BFBD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887476504628" createdVersion="8" refreshedVersion="8" minRefreshableVersion="3" recordCount="490" xr:uid="{2FBDF00E-67F7-4467-9A6E-6BD43EC11B2A}">
  <cacheSource type="worksheet">
    <worksheetSource name="Table2"/>
  </cacheSource>
  <cacheFields count="11">
    <cacheField name="Order_ID" numFmtId="0">
      <sharedItems containsSemiMixedTypes="0" containsString="0" containsNumber="1" containsInteger="1" minValue="1001" maxValue="1500" count="490">
        <n v="1001"/>
        <n v="1002"/>
        <n v="1003"/>
        <n v="1004"/>
        <n v="1005"/>
        <n v="1006"/>
        <n v="1007"/>
        <n v="1008"/>
        <n v="1009"/>
        <n v="1010"/>
        <n v="1011"/>
        <n v="1012"/>
        <n v="1013"/>
        <n v="1014"/>
        <n v="1015"/>
        <n v="1017"/>
        <n v="1018"/>
        <n v="1019"/>
        <n v="1020"/>
        <n v="1021"/>
        <n v="1022"/>
        <n v="1023"/>
        <n v="1024"/>
        <n v="1025"/>
        <n v="1026"/>
        <n v="1027"/>
        <n v="1028"/>
        <n v="1029"/>
        <n v="1030"/>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8"/>
        <n v="1139"/>
        <n v="1140"/>
        <n v="1141"/>
        <n v="1142"/>
        <n v="1143"/>
        <n v="1144"/>
        <n v="1145"/>
        <n v="1146"/>
        <n v="1147"/>
        <n v="1148"/>
        <n v="1149"/>
        <n v="1150"/>
        <n v="1151"/>
        <n v="1152"/>
        <n v="1153"/>
        <n v="1154"/>
        <n v="1155"/>
        <n v="1156"/>
        <n v="1157"/>
        <n v="1158"/>
        <n v="1159"/>
        <n v="1160"/>
        <n v="1161"/>
        <n v="1162"/>
        <n v="1163"/>
        <n v="1164"/>
        <n v="1165"/>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1"/>
        <n v="1312"/>
        <n v="1313"/>
        <n v="1314"/>
        <n v="1315"/>
        <n v="1316"/>
        <n v="1317"/>
        <n v="1318"/>
        <n v="1319"/>
        <n v="1320"/>
        <n v="1321"/>
        <n v="1322"/>
        <n v="1323"/>
        <n v="1324"/>
        <n v="1325"/>
        <n v="1326"/>
        <n v="1327"/>
        <n v="1328"/>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1"/>
        <n v="1442"/>
        <n v="1443"/>
        <n v="1444"/>
        <n v="1445"/>
        <n v="1446"/>
        <n v="1447"/>
        <n v="1448"/>
        <n v="1449"/>
        <n v="1450"/>
        <n v="1451"/>
        <n v="1452"/>
        <n v="1453"/>
        <n v="1454"/>
        <n v="1455"/>
        <n v="1456"/>
        <n v="1457"/>
        <n v="1458"/>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sharedItems>
    </cacheField>
    <cacheField name="Order_Date" numFmtId="164">
      <sharedItems containsSemiMixedTypes="0" containsNonDate="0" containsDate="1" containsString="0" minDate="2023-01-01T00:00:00" maxDate="2024-01-01T00:00:00" count="264">
        <d v="2023-04-13T00:00:00"/>
        <d v="2023-12-15T00:00:00"/>
        <d v="2023-09-28T00:00:00"/>
        <d v="2023-04-17T00:00:00"/>
        <d v="2023-03-13T00:00:00"/>
        <d v="2023-07-08T00:00:00"/>
        <d v="2023-01-21T00:00:00"/>
        <d v="2023-05-02T00:00:00"/>
        <d v="2023-08-03T00:00:00"/>
        <d v="2023-11-27T00:00:00"/>
        <d v="2023-03-29T00:00:00"/>
        <d v="2023-04-10T00:00:00"/>
        <d v="2023-12-26T00:00:00"/>
        <d v="2023-06-0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6-19T00:00:00"/>
        <d v="2023-07-07T00:00:00"/>
        <d v="2023-07-09T00:00:00"/>
        <d v="2023-06-24T00:00:00"/>
        <d v="2023-02-20T00:00:00"/>
        <d v="2023-12-30T00:00:00"/>
        <d v="2023-02-24T00:00:00"/>
        <d v="2023-09-01T00:00:00"/>
        <d v="2023-11-16T00:00:00"/>
        <d v="2023-05-11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16T00:00:00"/>
        <d v="2023-03-04T00:00:00"/>
        <d v="2023-05-19T00:00:00"/>
        <d v="2023-06-12T00:00:00"/>
        <d v="2023-10-16T00:00:00"/>
        <d v="2023-09-18T00:00:00"/>
        <d v="2023-08-19T00:00:00"/>
        <d v="2023-01-28T00:00:00"/>
        <d v="2023-07-20T00:00:00"/>
        <d v="2023-11-24T00:00:00"/>
        <d v="2023-09-25T00:00:00"/>
        <d v="2023-02-02T00:00:00"/>
        <d v="2023-02-17T00:00:00"/>
        <d v="2023-03-03T00:00:00"/>
        <d v="2023-08-04T00:00:00"/>
        <d v="2023-10-20T00:00:00"/>
        <d v="2023-04-09T00:00:00"/>
        <d v="2023-06-21T00:00:00"/>
        <d v="2023-08-02T00:00:00"/>
        <d v="2023-08-15T00:00:00"/>
        <d v="2023-04-11T00:00:00"/>
        <d v="2023-09-14T00:00:00"/>
        <d v="2023-01-05T00:00:00"/>
        <d v="2023-09-12T00:00:00"/>
        <d v="2023-12-25T00:00:00"/>
        <d v="2023-10-10T00:00:00"/>
        <d v="2023-07-26T00:00:00"/>
        <d v="2023-06-28T00:00:00"/>
        <d v="2023-12-18T00:00:00"/>
        <d v="2023-08-29T00:00:00"/>
        <d v="2023-02-21T00:00:00"/>
        <d v="2023-04-06T00:00:00"/>
        <d v="2023-08-10T00:00:00"/>
        <d v="2023-05-23T00:00:00"/>
        <d v="2023-06-20T00:00:00"/>
        <d v="2023-01-29T00:00:00"/>
        <d v="2023-02-05T00:00:00"/>
        <d v="2023-01-13T00:00:00"/>
        <d v="2023-06-09T00:00:00"/>
        <d v="2023-07-06T00:00:00"/>
        <d v="2023-08-31T00:00:00"/>
        <d v="2023-03-27T00:00:00"/>
        <d v="2023-10-11T00:00:00"/>
        <d v="2023-03-07T00:00:00"/>
        <d v="2023-02-14T00:00:00"/>
        <d v="2023-05-14T00:00:00"/>
        <d v="2023-10-13T00:00:00"/>
        <d v="2023-05-08T00:00:00"/>
        <d v="2023-12-14T00:00:00"/>
        <d v="2023-08-13T00:00:00"/>
        <d v="2023-05-01T00:00:00"/>
        <d v="2023-04-26T00:00:00"/>
        <d v="2023-08-21T00:00:00"/>
        <d v="2023-09-16T00:00:00"/>
        <d v="2023-07-17T00:00:00"/>
        <d v="2023-05-17T00:00:00"/>
        <d v="2023-11-14T00:00:00"/>
        <d v="2023-06-14T00:00:00"/>
        <d v="2023-08-22T00:00:00"/>
        <d v="2023-11-11T00:00:00"/>
        <d v="2023-06-29T00:00:00"/>
        <d v="2023-04-23T00:00:00"/>
        <d v="2023-10-22T00:00:00"/>
        <d v="2023-05-10T00:00:00"/>
        <d v="2023-08-08T00:00:00"/>
        <d v="2023-12-09T00:00:00"/>
        <d v="2023-08-12T00:00:00"/>
        <d v="2023-05-06T00:00:00"/>
        <d v="2023-09-04T00:00:00"/>
        <d v="2023-11-20T00:00:00"/>
        <d v="2023-07-22T00:00:00"/>
        <d v="2023-07-03T00:00:00"/>
        <d v="2023-05-03T00:00:00"/>
        <d v="2023-11-21T00:00:00"/>
        <d v="2023-04-08T00:00:00"/>
        <d v="2023-08-28T00:00:00"/>
        <d v="2023-05-24T00:00:00"/>
        <d v="2023-04-07T00:00:00"/>
        <d v="2023-05-04T00:00:00"/>
        <d v="2023-11-22T00:00:00"/>
        <d v="2023-05-28T00:00:00"/>
        <d v="2023-05-27T00:00:00"/>
        <d v="2023-07-18T00:00:00"/>
        <d v="2023-11-04T00:00:00"/>
        <d v="2023-02-08T00:00:00"/>
        <d v="2023-05-09T00:00:00"/>
        <d v="2023-09-24T00:00:00"/>
        <d v="2023-05-31T00:00:00"/>
        <d v="2023-10-25T00:00:00"/>
        <d v="2023-09-20T00:00:00"/>
        <d v="2023-04-22T00:00:00"/>
        <d v="2023-03-01T00:00:00"/>
        <d v="2023-09-11T00:00:00"/>
        <d v="2023-05-20T00:00:00"/>
        <d v="2023-02-06T00:00:00"/>
        <d v="2023-04-30T00:00:00"/>
        <d v="2023-03-16T00:00:00"/>
        <d v="2023-04-14T00:00:00"/>
        <d v="2023-06-02T00:00:00"/>
        <d v="2023-07-13T00:00:00"/>
        <d v="2023-06-18T00:00:00"/>
        <d v="2023-03-09T00:00:00"/>
        <d v="2023-07-14T00:00:00"/>
        <d v="2023-06-25T00:00:00"/>
        <d v="2023-08-26T00:00:00"/>
        <d v="2023-02-07T00:00:00"/>
        <d v="2023-08-18T00:00:00"/>
        <d v="2023-12-31T00:00:00"/>
        <d v="2023-01-27T00:00:00"/>
        <d v="2023-08-14T00:00:00"/>
        <d v="2023-11-13T00:00:00"/>
        <d v="2023-01-04T00:00:00"/>
        <d v="2023-01-17T00:00:00"/>
        <d v="2023-06-07T00:00:00"/>
        <d v="2023-02-15T00:00:00"/>
        <d v="2023-01-06T00:00:00"/>
        <d v="2023-10-29T00:00:00"/>
        <d v="2023-06-30T00:00:00"/>
        <d v="2023-04-05T00:00:00"/>
        <d v="2023-09-13T00:00:00"/>
        <d v="2023-11-19T00:00:00"/>
        <d v="2023-01-18T00:00:00"/>
        <d v="2023-10-08T00:00:00"/>
        <d v="2023-08-11T00:00:00"/>
        <d v="2023-02-27T00:00:00"/>
        <d v="2023-06-23T00:00:00"/>
        <d v="2023-04-24T00:00:00"/>
        <d v="2023-10-15T00:00:00"/>
        <d v="2023-12-08T00:00:00"/>
        <d v="2023-05-07T00:00:00"/>
        <d v="2023-06-04T00:00:00"/>
        <d v="2023-09-30T00:00:00"/>
        <d v="2023-10-26T00:00:00"/>
        <d v="2023-09-03T00:00:00"/>
        <d v="2023-01-26T00:00:00"/>
        <d v="2023-12-21T00:00:00"/>
        <d v="2023-11-02T00:00:00"/>
        <d v="2023-11-09T00:00:00"/>
        <d v="2023-06-22T00:00:00"/>
        <d v="2023-01-20T00:00:00"/>
        <d v="2023-11-17T00:00:00"/>
        <d v="2023-05-22T00:00:00"/>
        <d v="2023-12-20T00:00:00"/>
        <d v="2023-11-18T00:00:00"/>
        <d v="2023-07-05T00:00:00"/>
        <d v="2023-05-05T00:00:00"/>
        <d v="2023-11-01T00:00:00"/>
        <d v="2023-04-18T00:00:00"/>
        <d v="2023-07-15T00:00:00"/>
        <d v="2023-09-19T00:00:00"/>
        <d v="2023-12-16T00:00:00"/>
        <d v="2023-02-16T00:00:00"/>
        <d v="2023-11-07T00:00:00"/>
        <d v="2023-09-26T00:00:00"/>
        <d v="2023-05-25T00:00:00"/>
        <d v="2023-11-15T00:00:00"/>
        <d v="2023-10-02T00:00:00"/>
        <d v="2023-08-17T00:00:00"/>
        <d v="2023-10-06T00:00:00"/>
        <d v="2023-01-01T00:00:00"/>
        <d v="2023-08-27T00:00:00"/>
        <d v="2023-10-17T00:00:00"/>
        <d v="2023-04-28T00:00:00"/>
        <d v="2023-09-29T00:00:00"/>
        <d v="2023-10-05T00:00:00"/>
        <d v="2023-03-17T00:00:00"/>
        <d v="2023-06-03T00:00:00"/>
        <d v="2023-07-04T00:00:00"/>
        <d v="2023-10-12T00:00:00"/>
        <d v="2023-03-10T00:00:00"/>
        <d v="2023-04-04T00:00:00"/>
        <d v="2023-07-23T00:00:00"/>
        <d v="2023-12-07T00:00:00"/>
        <d v="2023-12-23T00:00:00"/>
        <d v="2023-01-23T00:00:00"/>
        <d v="2023-09-07T00:00:00"/>
        <d v="2023-01-10T00:00:00"/>
        <d v="2023-01-16T00:00:00"/>
        <d v="2023-12-02T00:00:00"/>
      </sharedItems>
      <fieldGroup par="10"/>
    </cacheField>
    <cacheField name="Customer_Name" numFmtId="0">
      <sharedItems count="79">
        <s v="Customer_2"/>
        <s v="Customer_32"/>
        <s v="Customer_24"/>
        <s v="Customer_12"/>
        <s v="Customer_50"/>
        <s v="Customer_35"/>
        <s v="Customer_33"/>
        <s v="Customer_61"/>
        <s v="Customer_51"/>
        <s v="Customer_43"/>
        <s v="Customer_67"/>
        <s v="Customer_65"/>
        <s v="Customer_74"/>
        <s v="Customer_44"/>
        <s v="Customer_29"/>
        <s v="Customer_13"/>
        <s v="Customer_46"/>
        <s v="Customer_8"/>
        <s v="Customer_26"/>
        <s v="Customer_34"/>
        <s v="Customer_7"/>
        <s v="Customer_58"/>
        <s v="Customer_75"/>
        <s v="Customer_36"/>
        <s v="Customer_21"/>
        <s v="Customer_10"/>
        <s v="Customer_73"/>
        <s v="Customer_64"/>
        <s v="Customer_49"/>
        <s v="Customer_23"/>
        <s v="Customer_62"/>
        <s v="Customer_37"/>
        <s v="Customer_55"/>
        <s v="Customer_30"/>
        <s v="Customer_17"/>
        <s v="Customer_59"/>
        <s v="Customer_19"/>
        <s v="Customer_76"/>
        <s v="Customer_9"/>
        <s v="Customer_71"/>
        <s v="Customer_28"/>
        <s v="Customer_78"/>
        <s v="Customer_52"/>
        <s v="Customer_16"/>
        <s v="Customer_69"/>
        <s v="Customer_25"/>
        <s v="Customer_53"/>
        <s v="Customer_57"/>
        <s v="Customer_39"/>
        <s v="Customer_42"/>
        <s v="Customer_14"/>
        <s v="Customer_5"/>
        <s v="Customer_18"/>
        <s v="Customer_40"/>
        <s v="Customer_27"/>
        <s v="Customer_38"/>
        <s v="Customer_45"/>
        <s v="Customer_4"/>
        <s v="Customer_70"/>
        <s v="Customer_31"/>
        <s v="Customer_54"/>
        <s v="Customer_20"/>
        <s v="Customer_72"/>
        <s v="Customer_1"/>
        <s v="Customer_3"/>
        <s v="Customer_77"/>
        <s v="Customer_63"/>
        <s v="Customer_56"/>
        <s v="Customer_6"/>
        <s v="Customer_47"/>
        <s v="Customer_15"/>
        <s v="Customer_60"/>
        <s v="Customer_41"/>
        <s v="Customer_66"/>
        <s v="Customer_11"/>
        <s v="Customer_79"/>
        <s v="Customer_22"/>
        <s v="Customer_48"/>
        <s v="Customer_68"/>
      </sharedItems>
    </cacheField>
    <cacheField name="Country" numFmtId="0">
      <sharedItems count="7">
        <s v="Canada"/>
        <s v="UK"/>
        <s v="Germany"/>
        <s v="France"/>
        <s v="USA"/>
        <s v="Australia"/>
        <s v="U.K."/>
      </sharedItems>
    </cacheField>
    <cacheField name="Product" numFmtId="0">
      <sharedItems count="5">
        <s v="Cappuccino"/>
        <s v="Americano"/>
        <s v="Latte"/>
        <s v="Espresso"/>
        <s v="Mocha"/>
      </sharedItems>
    </cacheField>
    <cacheField name="Quantity" numFmtId="0">
      <sharedItems containsSemiMixedTypes="0" containsString="0" containsNumber="1" containsInteger="1" minValue="1" maxValue="9" count="9">
        <n v="6"/>
        <n v="4"/>
        <n v="3"/>
        <n v="2"/>
        <n v="9"/>
        <n v="7"/>
        <n v="1"/>
        <n v="8"/>
        <n v="5"/>
      </sharedItems>
    </cacheField>
    <cacheField name="Unit_Price" numFmtId="0">
      <sharedItems containsSemiMixedTypes="0" containsString="0" containsNumber="1" minValue="2.5" maxValue="5.99"/>
    </cacheField>
    <cacheField name="Sales_Channel" numFmtId="0">
      <sharedItems count="3">
        <s v="Retail"/>
        <s v="Online"/>
        <s v="Online "/>
      </sharedItems>
    </cacheField>
    <cacheField name="Total_Sales" numFmtId="0">
      <sharedItems containsSemiMixedTypes="0" containsString="0" containsNumber="1" minValue="2.5099999999999998" maxValue="53.73" count="439">
        <n v="30.96"/>
        <n v="19.48"/>
        <n v="30.9"/>
        <n v="16.350000000000001"/>
        <n v="24.9"/>
        <n v="8.52"/>
        <n v="5.88"/>
        <n v="34.65"/>
        <n v="33.25"/>
        <n v="15.69"/>
        <n v="3.26"/>
        <n v="23.84"/>
        <n v="28.92"/>
        <n v="17.57"/>
        <n v="28.08"/>
        <n v="3.08"/>
        <n v="21.91"/>
        <n v="19.3"/>
        <n v="11.73"/>
        <n v="50.04"/>
        <n v="4.29"/>
        <n v="5.03"/>
        <n v="2.86"/>
        <n v="9.8699999999999992"/>
        <n v="29.76"/>
        <n v="8.0399999999999991"/>
        <n v="33.6"/>
        <n v="9.1999999999999993"/>
        <n v="41.49"/>
        <n v="18.149999999999999"/>
        <n v="37.840000000000003"/>
        <n v="6.04"/>
        <n v="29.58"/>
        <n v="25.55"/>
        <n v="53.46"/>
        <n v="16.149999999999999"/>
        <n v="10.78"/>
        <n v="21.6"/>
        <n v="15.24"/>
        <n v="20.51"/>
        <n v="30.42"/>
        <n v="6.66"/>
        <n v="19"/>
        <n v="19.04"/>
        <n v="37.1"/>
        <n v="25.9"/>
        <n v="45.63"/>
        <n v="14.2"/>
        <n v="9.33"/>
        <n v="18.920000000000002"/>
        <n v="21.2"/>
        <n v="18.72"/>
        <n v="14.7"/>
        <n v="11.94"/>
        <n v="20.48"/>
        <n v="25.45"/>
        <n v="23.32"/>
        <n v="9.6300000000000008"/>
        <n v="35.840000000000003"/>
        <n v="23.72"/>
        <n v="6.16"/>
        <n v="9.9"/>
        <n v="4.55"/>
        <n v="18.2"/>
        <n v="44.46"/>
        <n v="40.25"/>
        <n v="36.68"/>
        <n v="18.899999999999999"/>
        <n v="43.84"/>
        <n v="3.29"/>
        <n v="30.56"/>
        <n v="16.48"/>
        <n v="16.72"/>
        <n v="16.079999999999998"/>
        <n v="34.68"/>
        <n v="34.79"/>
        <n v="28.26"/>
        <n v="2.67"/>
        <n v="45.28"/>
        <n v="39.76"/>
        <n v="31.38"/>
        <n v="15.12"/>
        <n v="13.5"/>
        <n v="19.739999999999998"/>
        <n v="26.64"/>
        <n v="35.1"/>
        <n v="45.84"/>
        <n v="37.35"/>
        <n v="20.399999999999999"/>
        <n v="27.92"/>
        <n v="2.66"/>
        <n v="13.15"/>
        <n v="13.88"/>
        <n v="6.92"/>
        <n v="42"/>
        <n v="17.73"/>
        <n v="15.2"/>
        <n v="49.14"/>
        <n v="6.88"/>
        <n v="9.15"/>
        <n v="21.96"/>
        <n v="32.69"/>
        <n v="8.94"/>
        <n v="18.55"/>
        <n v="3.6"/>
        <n v="15.6"/>
        <n v="5.6"/>
        <n v="3.33"/>
        <n v="35.42"/>
        <n v="22.1"/>
        <n v="2.95"/>
        <n v="33.54"/>
        <n v="19.399999999999999"/>
        <n v="16.2"/>
        <n v="36.82"/>
        <n v="42.21"/>
        <n v="38.07"/>
        <n v="53.37"/>
        <n v="6.02"/>
        <n v="22.19"/>
        <n v="18.399999999999999"/>
        <n v="7.16"/>
        <n v="17.43"/>
        <n v="35.340000000000003"/>
        <n v="21.98"/>
        <n v="23.22"/>
        <n v="5.0199999999999996"/>
        <n v="27.72"/>
        <n v="22.48"/>
        <n v="14.67"/>
        <n v="17.64"/>
        <n v="23.1"/>
        <n v="15.64"/>
        <n v="35.200000000000003"/>
        <n v="26.35"/>
        <n v="4.42"/>
        <n v="18.600000000000001"/>
        <n v="32"/>
        <n v="2.99"/>
        <n v="29.34"/>
        <n v="19.88"/>
        <n v="22.08"/>
        <n v="4.1100000000000003"/>
        <n v="10.24"/>
        <n v="17.600000000000001"/>
        <n v="26.25"/>
        <n v="23.12"/>
        <n v="22.5"/>
        <n v="47.36"/>
        <n v="10.56"/>
        <n v="12.72"/>
        <n v="22.14"/>
        <n v="16.649999999999999"/>
        <n v="26.46"/>
        <n v="10.28"/>
        <n v="28.86"/>
        <n v="3.07"/>
        <n v="10.17"/>
        <n v="11.62"/>
        <n v="31.22"/>
        <n v="20.52"/>
        <n v="35.6"/>
        <n v="26.58"/>
        <n v="11.32"/>
        <n v="18.5"/>
        <n v="31.41"/>
        <n v="27.09"/>
        <n v="47.61"/>
        <n v="26.6"/>
        <n v="4.08"/>
        <n v="31.12"/>
        <n v="12.12"/>
        <n v="22.26"/>
        <n v="9.4499999999999993"/>
        <n v="22.64"/>
        <n v="25.75"/>
        <n v="28.72"/>
        <n v="38"/>
        <n v="3.19"/>
        <n v="50.76"/>
        <n v="16.28"/>
        <n v="26.7"/>
        <n v="18.48"/>
        <n v="9.3000000000000007"/>
        <n v="30.16"/>
        <n v="39.479999999999997"/>
        <n v="3.09"/>
        <n v="21.35"/>
        <n v="27.54"/>
        <n v="10.48"/>
        <n v="7.54"/>
        <n v="20.239999999999998"/>
        <n v="5.37"/>
        <n v="25.2"/>
        <n v="10.6"/>
        <n v="11.78"/>
        <n v="49.5"/>
        <n v="14.55"/>
        <n v="10.18"/>
        <n v="32.58"/>
        <n v="53.64"/>
        <n v="4.2"/>
        <n v="8.7899999999999991"/>
        <n v="20.16"/>
        <n v="25.41"/>
        <n v="23.96"/>
        <n v="11.86"/>
        <n v="17.7"/>
        <n v="16.98"/>
        <n v="26.9"/>
        <n v="12.92"/>
        <n v="3.83"/>
        <n v="35.46"/>
        <n v="7.36"/>
        <n v="10.62"/>
        <n v="45.68"/>
        <n v="17.34"/>
        <n v="15.48"/>
        <n v="41.72"/>
        <n v="22.6"/>
        <n v="43.02"/>
        <n v="18"/>
        <n v="10.74"/>
        <n v="11.16"/>
        <n v="13.02"/>
        <n v="6.72"/>
        <n v="11.6"/>
        <n v="5.62"/>
        <n v="45.18"/>
        <n v="7.94"/>
        <n v="51.03"/>
        <n v="30.54"/>
        <n v="3.17"/>
        <n v="4.0199999999999996"/>
        <n v="27.12"/>
        <n v="20.32"/>
        <n v="15.96"/>
        <n v="30.51"/>
        <n v="15.66"/>
        <n v="45.81"/>
        <n v="14.35"/>
        <n v="7.2"/>
        <n v="20.079999999999998"/>
        <n v="24.45"/>
        <n v="19.16"/>
        <n v="53.73"/>
        <n v="11"/>
        <n v="11.08"/>
        <n v="7.38"/>
        <n v="33.18"/>
        <n v="6.5"/>
        <n v="26.32"/>
        <n v="8.2200000000000006"/>
        <n v="15.51"/>
        <n v="19.649999999999999"/>
        <n v="29.79"/>
        <n v="10.66"/>
        <n v="5.42"/>
        <n v="45.2"/>
        <n v="38.92"/>
        <n v="7.5"/>
        <n v="27.81"/>
        <n v="11.58"/>
        <n v="19.149999999999999"/>
        <n v="29.61"/>
        <n v="11.52"/>
        <n v="20.65"/>
        <n v="3.94"/>
        <n v="21.24"/>
        <n v="17.920000000000002"/>
        <n v="31.84"/>
        <n v="2.6"/>
        <n v="29.4"/>
        <n v="19.920000000000002"/>
        <n v="23.6"/>
        <n v="21.56"/>
        <n v="29.7"/>
        <n v="38.08"/>
        <n v="11.88"/>
        <n v="23.35"/>
        <n v="17.84"/>
        <n v="30.52"/>
        <n v="28.32"/>
        <n v="28.49"/>
        <n v="16.3"/>
        <n v="17.52"/>
        <n v="13.7"/>
        <n v="23.94"/>
        <n v="5.32"/>
        <n v="22.45"/>
        <n v="20.94"/>
        <n v="32.340000000000003"/>
        <n v="13.8"/>
        <n v="23.03"/>
        <n v="40.479999999999997"/>
        <n v="32.200000000000003"/>
        <n v="13.65"/>
        <n v="5.57"/>
        <n v="27.85"/>
        <n v="18.45"/>
        <n v="29.8"/>
        <n v="9.3800000000000008"/>
        <n v="21.8"/>
        <n v="21.72"/>
        <n v="3.5"/>
        <n v="12"/>
        <n v="3.44"/>
        <n v="26.3"/>
        <n v="18.04"/>
        <n v="33.67"/>
        <n v="16.899999999999999"/>
        <n v="13.08"/>
        <n v="8.42"/>
        <n v="8.68"/>
        <n v="20.88"/>
        <n v="16.62"/>
        <n v="24.57"/>
        <n v="23.4"/>
        <n v="15.54"/>
        <n v="24.65"/>
        <n v="2.79"/>
        <n v="51.21"/>
        <n v="4.13"/>
        <n v="33.21"/>
        <n v="3.1"/>
        <n v="11.64"/>
        <n v="4.0599999999999996"/>
        <n v="10.52"/>
        <n v="37.92"/>
        <n v="24.35"/>
        <n v="20.72"/>
        <n v="6.64"/>
        <n v="35.4"/>
        <n v="27.36"/>
        <n v="3.45"/>
        <n v="4.16"/>
        <n v="41.58"/>
        <n v="27.52"/>
        <n v="11.76"/>
        <n v="28.1"/>
        <n v="2.5099999999999998"/>
        <n v="23.05"/>
        <n v="45.44"/>
        <n v="26.72"/>
        <n v="37.26"/>
        <n v="28.56"/>
        <n v="14.04"/>
        <n v="33.119999999999997"/>
        <n v="12.21"/>
        <n v="4.57"/>
        <n v="21.9"/>
        <n v="13.35"/>
        <n v="43.36"/>
        <n v="14"/>
        <n v="12.36"/>
        <n v="28.21"/>
        <n v="9.7799999999999994"/>
        <n v="11.67"/>
        <n v="13.3"/>
        <n v="17.350000000000001"/>
        <n v="32.159999999999997"/>
        <n v="28"/>
        <n v="4.3600000000000003"/>
        <n v="44.64"/>
        <n v="36.08"/>
        <n v="43.74"/>
        <n v="8.16"/>
        <n v="17.25"/>
        <n v="15.44"/>
        <n v="20.2"/>
        <n v="50.31"/>
        <n v="43.65"/>
        <n v="30.6"/>
        <n v="34.020000000000003"/>
        <n v="7.08"/>
        <n v="25.05"/>
        <n v="23.36"/>
        <n v="40.159999999999997"/>
        <n v="11.04"/>
        <n v="15.06"/>
        <n v="10.8"/>
        <n v="2.64"/>
        <n v="44.4"/>
        <n v="6.8"/>
        <n v="33.81"/>
        <n v="47.7"/>
        <n v="43.38"/>
        <n v="22.56"/>
        <n v="41.31"/>
        <n v="8.84"/>
        <n v="33.9"/>
        <n v="14.48"/>
        <n v="25.6"/>
        <n v="11.82"/>
        <n v="28.05"/>
        <n v="29.82"/>
        <n v="20.93"/>
        <n v="2.91"/>
        <n v="6.2"/>
        <n v="23.65"/>
        <n v="34.799999999999997"/>
        <n v="43.2"/>
        <n v="41.79"/>
        <n v="37.590000000000003"/>
        <n v="26.16"/>
        <n v="36.630000000000003"/>
        <n v="16.8"/>
        <n v="11.38"/>
        <n v="26.65"/>
        <n v="13.04"/>
        <n v="8.26"/>
        <n v="19.18"/>
        <n v="30.88"/>
        <n v="32.880000000000003"/>
        <n v="19.55"/>
        <n v="2.77"/>
        <n v="16.559999999999999"/>
        <n v="27.42"/>
        <n v="26.88"/>
        <n v="40.770000000000003"/>
        <n v="25.8"/>
        <n v="22.8"/>
        <n v="44.88"/>
        <n v="2.54"/>
        <n v="7.8"/>
        <n v="3.88"/>
        <n v="17.36"/>
        <n v="34.32"/>
        <n v="9.24"/>
        <n v="9.52"/>
        <n v="25.85"/>
        <n v="40.67"/>
        <n v="38.79"/>
        <n v="34.47"/>
        <n v="10.08"/>
        <n v="15.4"/>
        <n v="31.62"/>
        <n v="2.85"/>
        <n v="8.7200000000000006"/>
      </sharedItems>
    </cacheField>
    <cacheField name="Days (Order_Date)" numFmtId="0" databaseField="0">
      <fieldGroup base="1">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Order_Date)" numFmtId="0" databaseField="0">
      <fieldGroup base="1">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5028555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x v="0"/>
    <x v="0"/>
    <x v="0"/>
    <x v="0"/>
    <x v="0"/>
    <x v="0"/>
    <n v="5.16"/>
    <x v="0"/>
    <x v="0"/>
  </r>
  <r>
    <x v="1"/>
    <x v="1"/>
    <x v="1"/>
    <x v="1"/>
    <x v="1"/>
    <x v="1"/>
    <n v="4.87"/>
    <x v="0"/>
    <x v="1"/>
  </r>
  <r>
    <x v="2"/>
    <x v="2"/>
    <x v="2"/>
    <x v="2"/>
    <x v="2"/>
    <x v="0"/>
    <n v="5.15"/>
    <x v="0"/>
    <x v="2"/>
  </r>
  <r>
    <x v="3"/>
    <x v="3"/>
    <x v="3"/>
    <x v="3"/>
    <x v="3"/>
    <x v="2"/>
    <n v="5.45"/>
    <x v="0"/>
    <x v="3"/>
  </r>
  <r>
    <x v="4"/>
    <x v="4"/>
    <x v="4"/>
    <x v="4"/>
    <x v="4"/>
    <x v="0"/>
    <n v="4.1500000000000004"/>
    <x v="0"/>
    <x v="4"/>
  </r>
  <r>
    <x v="5"/>
    <x v="5"/>
    <x v="5"/>
    <x v="2"/>
    <x v="4"/>
    <x v="3"/>
    <n v="4.26"/>
    <x v="1"/>
    <x v="5"/>
  </r>
  <r>
    <x v="6"/>
    <x v="6"/>
    <x v="6"/>
    <x v="5"/>
    <x v="0"/>
    <x v="3"/>
    <n v="2.94"/>
    <x v="1"/>
    <x v="6"/>
  </r>
  <r>
    <x v="7"/>
    <x v="0"/>
    <x v="6"/>
    <x v="0"/>
    <x v="4"/>
    <x v="4"/>
    <n v="3.85"/>
    <x v="0"/>
    <x v="7"/>
  </r>
  <r>
    <x v="8"/>
    <x v="7"/>
    <x v="7"/>
    <x v="2"/>
    <x v="1"/>
    <x v="5"/>
    <n v="4.75"/>
    <x v="1"/>
    <x v="8"/>
  </r>
  <r>
    <x v="9"/>
    <x v="8"/>
    <x v="8"/>
    <x v="3"/>
    <x v="1"/>
    <x v="2"/>
    <n v="5.23"/>
    <x v="1"/>
    <x v="9"/>
  </r>
  <r>
    <x v="10"/>
    <x v="9"/>
    <x v="9"/>
    <x v="5"/>
    <x v="0"/>
    <x v="6"/>
    <n v="3.26"/>
    <x v="0"/>
    <x v="10"/>
  </r>
  <r>
    <x v="11"/>
    <x v="10"/>
    <x v="3"/>
    <x v="4"/>
    <x v="1"/>
    <x v="7"/>
    <n v="2.98"/>
    <x v="1"/>
    <x v="11"/>
  </r>
  <r>
    <x v="12"/>
    <x v="11"/>
    <x v="10"/>
    <x v="4"/>
    <x v="2"/>
    <x v="0"/>
    <n v="4.82"/>
    <x v="0"/>
    <x v="12"/>
  </r>
  <r>
    <x v="13"/>
    <x v="12"/>
    <x v="11"/>
    <x v="3"/>
    <x v="0"/>
    <x v="5"/>
    <n v="2.5099999999999998"/>
    <x v="0"/>
    <x v="13"/>
  </r>
  <r>
    <x v="14"/>
    <x v="13"/>
    <x v="6"/>
    <x v="3"/>
    <x v="2"/>
    <x v="4"/>
    <n v="3.12"/>
    <x v="0"/>
    <x v="14"/>
  </r>
  <r>
    <x v="15"/>
    <x v="14"/>
    <x v="12"/>
    <x v="4"/>
    <x v="2"/>
    <x v="6"/>
    <n v="3.08"/>
    <x v="1"/>
    <x v="15"/>
  </r>
  <r>
    <x v="16"/>
    <x v="15"/>
    <x v="9"/>
    <x v="5"/>
    <x v="3"/>
    <x v="5"/>
    <n v="3.13"/>
    <x v="1"/>
    <x v="16"/>
  </r>
  <r>
    <x v="17"/>
    <x v="16"/>
    <x v="13"/>
    <x v="2"/>
    <x v="3"/>
    <x v="8"/>
    <n v="3.86"/>
    <x v="1"/>
    <x v="17"/>
  </r>
  <r>
    <x v="18"/>
    <x v="17"/>
    <x v="14"/>
    <x v="5"/>
    <x v="2"/>
    <x v="2"/>
    <n v="3.91"/>
    <x v="0"/>
    <x v="18"/>
  </r>
  <r>
    <x v="19"/>
    <x v="18"/>
    <x v="15"/>
    <x v="1"/>
    <x v="0"/>
    <x v="4"/>
    <n v="5.56"/>
    <x v="0"/>
    <x v="19"/>
  </r>
  <r>
    <x v="20"/>
    <x v="19"/>
    <x v="3"/>
    <x v="1"/>
    <x v="1"/>
    <x v="6"/>
    <n v="4.29"/>
    <x v="1"/>
    <x v="20"/>
  </r>
  <r>
    <x v="21"/>
    <x v="20"/>
    <x v="16"/>
    <x v="3"/>
    <x v="1"/>
    <x v="6"/>
    <n v="5.03"/>
    <x v="0"/>
    <x v="21"/>
  </r>
  <r>
    <x v="22"/>
    <x v="21"/>
    <x v="0"/>
    <x v="0"/>
    <x v="3"/>
    <x v="6"/>
    <n v="2.86"/>
    <x v="0"/>
    <x v="22"/>
  </r>
  <r>
    <x v="23"/>
    <x v="22"/>
    <x v="5"/>
    <x v="1"/>
    <x v="3"/>
    <x v="2"/>
    <n v="3.29"/>
    <x v="1"/>
    <x v="23"/>
  </r>
  <r>
    <x v="24"/>
    <x v="23"/>
    <x v="17"/>
    <x v="4"/>
    <x v="0"/>
    <x v="0"/>
    <n v="4.96"/>
    <x v="0"/>
    <x v="24"/>
  </r>
  <r>
    <x v="25"/>
    <x v="24"/>
    <x v="18"/>
    <x v="5"/>
    <x v="4"/>
    <x v="2"/>
    <n v="2.68"/>
    <x v="1"/>
    <x v="25"/>
  </r>
  <r>
    <x v="26"/>
    <x v="25"/>
    <x v="12"/>
    <x v="5"/>
    <x v="2"/>
    <x v="7"/>
    <n v="4.2"/>
    <x v="0"/>
    <x v="26"/>
  </r>
  <r>
    <x v="27"/>
    <x v="26"/>
    <x v="19"/>
    <x v="3"/>
    <x v="3"/>
    <x v="3"/>
    <n v="4.5999999999999996"/>
    <x v="1"/>
    <x v="27"/>
  </r>
  <r>
    <x v="28"/>
    <x v="27"/>
    <x v="20"/>
    <x v="2"/>
    <x v="1"/>
    <x v="4"/>
    <n v="4.6100000000000003"/>
    <x v="0"/>
    <x v="28"/>
  </r>
  <r>
    <x v="29"/>
    <x v="28"/>
    <x v="21"/>
    <x v="2"/>
    <x v="2"/>
    <x v="8"/>
    <n v="3.63"/>
    <x v="1"/>
    <x v="29"/>
  </r>
  <r>
    <x v="30"/>
    <x v="29"/>
    <x v="22"/>
    <x v="3"/>
    <x v="0"/>
    <x v="7"/>
    <n v="4.7300000000000004"/>
    <x v="1"/>
    <x v="30"/>
  </r>
  <r>
    <x v="31"/>
    <x v="2"/>
    <x v="14"/>
    <x v="3"/>
    <x v="2"/>
    <x v="3"/>
    <n v="3.02"/>
    <x v="1"/>
    <x v="31"/>
  </r>
  <r>
    <x v="32"/>
    <x v="30"/>
    <x v="23"/>
    <x v="3"/>
    <x v="2"/>
    <x v="0"/>
    <n v="4.93"/>
    <x v="1"/>
    <x v="32"/>
  </r>
  <r>
    <x v="33"/>
    <x v="31"/>
    <x v="24"/>
    <x v="2"/>
    <x v="3"/>
    <x v="8"/>
    <n v="5.1100000000000003"/>
    <x v="0"/>
    <x v="33"/>
  </r>
  <r>
    <x v="34"/>
    <x v="32"/>
    <x v="23"/>
    <x v="2"/>
    <x v="0"/>
    <x v="4"/>
    <n v="5.94"/>
    <x v="0"/>
    <x v="34"/>
  </r>
  <r>
    <x v="35"/>
    <x v="33"/>
    <x v="25"/>
    <x v="3"/>
    <x v="0"/>
    <x v="8"/>
    <n v="3.23"/>
    <x v="1"/>
    <x v="35"/>
  </r>
  <r>
    <x v="36"/>
    <x v="34"/>
    <x v="26"/>
    <x v="1"/>
    <x v="1"/>
    <x v="3"/>
    <n v="5.39"/>
    <x v="0"/>
    <x v="36"/>
  </r>
  <r>
    <x v="37"/>
    <x v="35"/>
    <x v="2"/>
    <x v="0"/>
    <x v="1"/>
    <x v="8"/>
    <n v="4.32"/>
    <x v="1"/>
    <x v="37"/>
  </r>
  <r>
    <x v="38"/>
    <x v="36"/>
    <x v="27"/>
    <x v="0"/>
    <x v="3"/>
    <x v="1"/>
    <n v="3.81"/>
    <x v="1"/>
    <x v="38"/>
  </r>
  <r>
    <x v="39"/>
    <x v="37"/>
    <x v="28"/>
    <x v="0"/>
    <x v="3"/>
    <x v="5"/>
    <n v="2.93"/>
    <x v="0"/>
    <x v="39"/>
  </r>
  <r>
    <x v="40"/>
    <x v="38"/>
    <x v="23"/>
    <x v="2"/>
    <x v="4"/>
    <x v="0"/>
    <n v="5.07"/>
    <x v="0"/>
    <x v="40"/>
  </r>
  <r>
    <x v="41"/>
    <x v="39"/>
    <x v="2"/>
    <x v="2"/>
    <x v="1"/>
    <x v="3"/>
    <n v="3.33"/>
    <x v="1"/>
    <x v="41"/>
  </r>
  <r>
    <x v="42"/>
    <x v="6"/>
    <x v="29"/>
    <x v="1"/>
    <x v="2"/>
    <x v="8"/>
    <n v="3.8"/>
    <x v="1"/>
    <x v="42"/>
  </r>
  <r>
    <x v="43"/>
    <x v="40"/>
    <x v="30"/>
    <x v="0"/>
    <x v="0"/>
    <x v="5"/>
    <n v="2.72"/>
    <x v="1"/>
    <x v="43"/>
  </r>
  <r>
    <x v="44"/>
    <x v="41"/>
    <x v="31"/>
    <x v="0"/>
    <x v="3"/>
    <x v="5"/>
    <n v="5.3"/>
    <x v="0"/>
    <x v="44"/>
  </r>
  <r>
    <x v="45"/>
    <x v="42"/>
    <x v="3"/>
    <x v="3"/>
    <x v="0"/>
    <x v="8"/>
    <n v="5.18"/>
    <x v="0"/>
    <x v="45"/>
  </r>
  <r>
    <x v="46"/>
    <x v="43"/>
    <x v="32"/>
    <x v="2"/>
    <x v="0"/>
    <x v="4"/>
    <n v="5.07"/>
    <x v="0"/>
    <x v="46"/>
  </r>
  <r>
    <x v="47"/>
    <x v="44"/>
    <x v="15"/>
    <x v="0"/>
    <x v="4"/>
    <x v="1"/>
    <n v="3.55"/>
    <x v="0"/>
    <x v="47"/>
  </r>
  <r>
    <x v="48"/>
    <x v="45"/>
    <x v="29"/>
    <x v="5"/>
    <x v="1"/>
    <x v="2"/>
    <n v="3.11"/>
    <x v="1"/>
    <x v="48"/>
  </r>
  <r>
    <x v="49"/>
    <x v="46"/>
    <x v="33"/>
    <x v="1"/>
    <x v="3"/>
    <x v="1"/>
    <n v="4.7300000000000004"/>
    <x v="1"/>
    <x v="49"/>
  </r>
  <r>
    <x v="50"/>
    <x v="47"/>
    <x v="34"/>
    <x v="5"/>
    <x v="0"/>
    <x v="8"/>
    <n v="4.24"/>
    <x v="1"/>
    <x v="50"/>
  </r>
  <r>
    <x v="51"/>
    <x v="48"/>
    <x v="30"/>
    <x v="5"/>
    <x v="3"/>
    <x v="0"/>
    <n v="3.12"/>
    <x v="1"/>
    <x v="51"/>
  </r>
  <r>
    <x v="52"/>
    <x v="49"/>
    <x v="15"/>
    <x v="1"/>
    <x v="2"/>
    <x v="2"/>
    <n v="4.9000000000000004"/>
    <x v="1"/>
    <x v="52"/>
  </r>
  <r>
    <x v="53"/>
    <x v="50"/>
    <x v="35"/>
    <x v="5"/>
    <x v="4"/>
    <x v="3"/>
    <n v="5.97"/>
    <x v="1"/>
    <x v="53"/>
  </r>
  <r>
    <x v="54"/>
    <x v="51"/>
    <x v="36"/>
    <x v="0"/>
    <x v="2"/>
    <x v="1"/>
    <n v="5.12"/>
    <x v="0"/>
    <x v="54"/>
  </r>
  <r>
    <x v="55"/>
    <x v="52"/>
    <x v="28"/>
    <x v="2"/>
    <x v="3"/>
    <x v="8"/>
    <n v="5.09"/>
    <x v="0"/>
    <x v="55"/>
  </r>
  <r>
    <x v="56"/>
    <x v="53"/>
    <x v="3"/>
    <x v="1"/>
    <x v="3"/>
    <x v="1"/>
    <n v="5.83"/>
    <x v="1"/>
    <x v="56"/>
  </r>
  <r>
    <x v="57"/>
    <x v="54"/>
    <x v="7"/>
    <x v="3"/>
    <x v="1"/>
    <x v="2"/>
    <n v="3.21"/>
    <x v="1"/>
    <x v="57"/>
  </r>
  <r>
    <x v="58"/>
    <x v="55"/>
    <x v="36"/>
    <x v="5"/>
    <x v="0"/>
    <x v="7"/>
    <n v="4.4800000000000004"/>
    <x v="0"/>
    <x v="58"/>
  </r>
  <r>
    <x v="59"/>
    <x v="56"/>
    <x v="37"/>
    <x v="1"/>
    <x v="0"/>
    <x v="1"/>
    <n v="5.93"/>
    <x v="0"/>
    <x v="59"/>
  </r>
  <r>
    <x v="60"/>
    <x v="12"/>
    <x v="38"/>
    <x v="4"/>
    <x v="2"/>
    <x v="3"/>
    <n v="3.08"/>
    <x v="0"/>
    <x v="60"/>
  </r>
  <r>
    <x v="61"/>
    <x v="57"/>
    <x v="39"/>
    <x v="4"/>
    <x v="4"/>
    <x v="3"/>
    <n v="4.95"/>
    <x v="0"/>
    <x v="61"/>
  </r>
  <r>
    <x v="62"/>
    <x v="58"/>
    <x v="40"/>
    <x v="2"/>
    <x v="0"/>
    <x v="6"/>
    <n v="4.55"/>
    <x v="1"/>
    <x v="62"/>
  </r>
  <r>
    <x v="63"/>
    <x v="59"/>
    <x v="41"/>
    <x v="0"/>
    <x v="1"/>
    <x v="1"/>
    <n v="4.55"/>
    <x v="1"/>
    <x v="63"/>
  </r>
  <r>
    <x v="64"/>
    <x v="60"/>
    <x v="42"/>
    <x v="2"/>
    <x v="2"/>
    <x v="4"/>
    <n v="4.9400000000000004"/>
    <x v="1"/>
    <x v="64"/>
  </r>
  <r>
    <x v="65"/>
    <x v="61"/>
    <x v="43"/>
    <x v="2"/>
    <x v="2"/>
    <x v="5"/>
    <n v="5.75"/>
    <x v="1"/>
    <x v="65"/>
  </r>
  <r>
    <x v="66"/>
    <x v="62"/>
    <x v="44"/>
    <x v="2"/>
    <x v="1"/>
    <x v="5"/>
    <n v="5.24"/>
    <x v="1"/>
    <x v="66"/>
  </r>
  <r>
    <x v="67"/>
    <x v="63"/>
    <x v="3"/>
    <x v="2"/>
    <x v="4"/>
    <x v="5"/>
    <n v="2.7"/>
    <x v="0"/>
    <x v="67"/>
  </r>
  <r>
    <x v="68"/>
    <x v="64"/>
    <x v="45"/>
    <x v="3"/>
    <x v="1"/>
    <x v="7"/>
    <n v="5.48"/>
    <x v="1"/>
    <x v="68"/>
  </r>
  <r>
    <x v="69"/>
    <x v="65"/>
    <x v="42"/>
    <x v="3"/>
    <x v="4"/>
    <x v="6"/>
    <n v="3.29"/>
    <x v="0"/>
    <x v="69"/>
  </r>
  <r>
    <x v="70"/>
    <x v="66"/>
    <x v="46"/>
    <x v="1"/>
    <x v="1"/>
    <x v="7"/>
    <n v="3.82"/>
    <x v="1"/>
    <x v="70"/>
  </r>
  <r>
    <x v="71"/>
    <x v="67"/>
    <x v="29"/>
    <x v="4"/>
    <x v="1"/>
    <x v="1"/>
    <n v="4.12"/>
    <x v="1"/>
    <x v="71"/>
  </r>
  <r>
    <x v="72"/>
    <x v="68"/>
    <x v="43"/>
    <x v="2"/>
    <x v="3"/>
    <x v="1"/>
    <n v="4.18"/>
    <x v="1"/>
    <x v="72"/>
  </r>
  <r>
    <x v="73"/>
    <x v="69"/>
    <x v="47"/>
    <x v="1"/>
    <x v="2"/>
    <x v="1"/>
    <n v="4.0199999999999996"/>
    <x v="1"/>
    <x v="73"/>
  </r>
  <r>
    <x v="74"/>
    <x v="2"/>
    <x v="48"/>
    <x v="4"/>
    <x v="1"/>
    <x v="0"/>
    <n v="5.78"/>
    <x v="1"/>
    <x v="74"/>
  </r>
  <r>
    <x v="75"/>
    <x v="8"/>
    <x v="46"/>
    <x v="5"/>
    <x v="1"/>
    <x v="5"/>
    <n v="4.97"/>
    <x v="0"/>
    <x v="75"/>
  </r>
  <r>
    <x v="76"/>
    <x v="70"/>
    <x v="49"/>
    <x v="0"/>
    <x v="0"/>
    <x v="0"/>
    <n v="4.71"/>
    <x v="0"/>
    <x v="76"/>
  </r>
  <r>
    <x v="77"/>
    <x v="30"/>
    <x v="21"/>
    <x v="3"/>
    <x v="2"/>
    <x v="6"/>
    <n v="2.67"/>
    <x v="0"/>
    <x v="77"/>
  </r>
  <r>
    <x v="78"/>
    <x v="71"/>
    <x v="48"/>
    <x v="5"/>
    <x v="0"/>
    <x v="7"/>
    <n v="5.66"/>
    <x v="1"/>
    <x v="78"/>
  </r>
  <r>
    <x v="79"/>
    <x v="72"/>
    <x v="50"/>
    <x v="4"/>
    <x v="2"/>
    <x v="5"/>
    <n v="5.68"/>
    <x v="1"/>
    <x v="79"/>
  </r>
  <r>
    <x v="80"/>
    <x v="73"/>
    <x v="51"/>
    <x v="5"/>
    <x v="0"/>
    <x v="0"/>
    <n v="5.23"/>
    <x v="0"/>
    <x v="80"/>
  </r>
  <r>
    <x v="81"/>
    <x v="74"/>
    <x v="5"/>
    <x v="0"/>
    <x v="1"/>
    <x v="0"/>
    <n v="2.52"/>
    <x v="1"/>
    <x v="81"/>
  </r>
  <r>
    <x v="82"/>
    <x v="75"/>
    <x v="22"/>
    <x v="4"/>
    <x v="1"/>
    <x v="8"/>
    <n v="2.7"/>
    <x v="1"/>
    <x v="82"/>
  </r>
  <r>
    <x v="83"/>
    <x v="49"/>
    <x v="52"/>
    <x v="5"/>
    <x v="3"/>
    <x v="0"/>
    <n v="3.29"/>
    <x v="0"/>
    <x v="83"/>
  </r>
  <r>
    <x v="84"/>
    <x v="76"/>
    <x v="37"/>
    <x v="3"/>
    <x v="0"/>
    <x v="4"/>
    <n v="2.96"/>
    <x v="1"/>
    <x v="84"/>
  </r>
  <r>
    <x v="85"/>
    <x v="77"/>
    <x v="38"/>
    <x v="3"/>
    <x v="4"/>
    <x v="4"/>
    <n v="3.9"/>
    <x v="0"/>
    <x v="85"/>
  </r>
  <r>
    <x v="86"/>
    <x v="70"/>
    <x v="12"/>
    <x v="1"/>
    <x v="3"/>
    <x v="7"/>
    <n v="5.73"/>
    <x v="1"/>
    <x v="86"/>
  </r>
  <r>
    <x v="87"/>
    <x v="29"/>
    <x v="21"/>
    <x v="5"/>
    <x v="0"/>
    <x v="4"/>
    <n v="4.1500000000000004"/>
    <x v="0"/>
    <x v="87"/>
  </r>
  <r>
    <x v="88"/>
    <x v="78"/>
    <x v="34"/>
    <x v="2"/>
    <x v="0"/>
    <x v="7"/>
    <n v="2.5499999999999998"/>
    <x v="1"/>
    <x v="88"/>
  </r>
  <r>
    <x v="89"/>
    <x v="79"/>
    <x v="20"/>
    <x v="5"/>
    <x v="3"/>
    <x v="7"/>
    <n v="3.49"/>
    <x v="1"/>
    <x v="89"/>
  </r>
  <r>
    <x v="90"/>
    <x v="80"/>
    <x v="16"/>
    <x v="4"/>
    <x v="1"/>
    <x v="6"/>
    <n v="2.66"/>
    <x v="0"/>
    <x v="90"/>
  </r>
  <r>
    <x v="91"/>
    <x v="81"/>
    <x v="15"/>
    <x v="4"/>
    <x v="0"/>
    <x v="8"/>
    <n v="2.63"/>
    <x v="1"/>
    <x v="91"/>
  </r>
  <r>
    <x v="92"/>
    <x v="82"/>
    <x v="53"/>
    <x v="5"/>
    <x v="1"/>
    <x v="1"/>
    <n v="3.47"/>
    <x v="1"/>
    <x v="92"/>
  </r>
  <r>
    <x v="93"/>
    <x v="26"/>
    <x v="49"/>
    <x v="0"/>
    <x v="3"/>
    <x v="3"/>
    <n v="3.46"/>
    <x v="0"/>
    <x v="93"/>
  </r>
  <r>
    <x v="94"/>
    <x v="83"/>
    <x v="38"/>
    <x v="3"/>
    <x v="1"/>
    <x v="7"/>
    <n v="5.25"/>
    <x v="1"/>
    <x v="94"/>
  </r>
  <r>
    <x v="95"/>
    <x v="84"/>
    <x v="4"/>
    <x v="4"/>
    <x v="2"/>
    <x v="2"/>
    <n v="5.91"/>
    <x v="0"/>
    <x v="95"/>
  </r>
  <r>
    <x v="96"/>
    <x v="17"/>
    <x v="54"/>
    <x v="3"/>
    <x v="4"/>
    <x v="1"/>
    <n v="3.8"/>
    <x v="1"/>
    <x v="96"/>
  </r>
  <r>
    <x v="97"/>
    <x v="85"/>
    <x v="51"/>
    <x v="1"/>
    <x v="4"/>
    <x v="4"/>
    <n v="5.46"/>
    <x v="1"/>
    <x v="97"/>
  </r>
  <r>
    <x v="98"/>
    <x v="86"/>
    <x v="14"/>
    <x v="2"/>
    <x v="1"/>
    <x v="3"/>
    <n v="3.44"/>
    <x v="1"/>
    <x v="98"/>
  </r>
  <r>
    <x v="99"/>
    <x v="87"/>
    <x v="31"/>
    <x v="4"/>
    <x v="0"/>
    <x v="2"/>
    <n v="3.05"/>
    <x v="0"/>
    <x v="99"/>
  </r>
  <r>
    <x v="100"/>
    <x v="55"/>
    <x v="55"/>
    <x v="3"/>
    <x v="1"/>
    <x v="1"/>
    <n v="5.49"/>
    <x v="1"/>
    <x v="100"/>
  </r>
  <r>
    <x v="101"/>
    <x v="88"/>
    <x v="17"/>
    <x v="1"/>
    <x v="2"/>
    <x v="6"/>
    <n v="2.66"/>
    <x v="0"/>
    <x v="90"/>
  </r>
  <r>
    <x v="102"/>
    <x v="89"/>
    <x v="11"/>
    <x v="4"/>
    <x v="3"/>
    <x v="5"/>
    <n v="4.67"/>
    <x v="1"/>
    <x v="101"/>
  </r>
  <r>
    <x v="103"/>
    <x v="90"/>
    <x v="34"/>
    <x v="0"/>
    <x v="0"/>
    <x v="3"/>
    <n v="4.47"/>
    <x v="1"/>
    <x v="102"/>
  </r>
  <r>
    <x v="104"/>
    <x v="91"/>
    <x v="39"/>
    <x v="2"/>
    <x v="2"/>
    <x v="8"/>
    <n v="3.71"/>
    <x v="1"/>
    <x v="103"/>
  </r>
  <r>
    <x v="105"/>
    <x v="78"/>
    <x v="56"/>
    <x v="4"/>
    <x v="2"/>
    <x v="6"/>
    <n v="3.6"/>
    <x v="2"/>
    <x v="104"/>
  </r>
  <r>
    <x v="106"/>
    <x v="92"/>
    <x v="57"/>
    <x v="1"/>
    <x v="0"/>
    <x v="2"/>
    <n v="5.2"/>
    <x v="0"/>
    <x v="105"/>
  </r>
  <r>
    <x v="107"/>
    <x v="39"/>
    <x v="23"/>
    <x v="0"/>
    <x v="1"/>
    <x v="3"/>
    <n v="2.8"/>
    <x v="0"/>
    <x v="106"/>
  </r>
  <r>
    <x v="108"/>
    <x v="93"/>
    <x v="58"/>
    <x v="5"/>
    <x v="2"/>
    <x v="6"/>
    <n v="3.33"/>
    <x v="0"/>
    <x v="107"/>
  </r>
  <r>
    <x v="109"/>
    <x v="94"/>
    <x v="59"/>
    <x v="1"/>
    <x v="4"/>
    <x v="5"/>
    <n v="5.0599999999999996"/>
    <x v="0"/>
    <x v="108"/>
  </r>
  <r>
    <x v="110"/>
    <x v="95"/>
    <x v="36"/>
    <x v="1"/>
    <x v="2"/>
    <x v="8"/>
    <n v="4.42"/>
    <x v="1"/>
    <x v="109"/>
  </r>
  <r>
    <x v="111"/>
    <x v="96"/>
    <x v="7"/>
    <x v="0"/>
    <x v="1"/>
    <x v="6"/>
    <n v="2.95"/>
    <x v="0"/>
    <x v="110"/>
  </r>
  <r>
    <x v="112"/>
    <x v="97"/>
    <x v="60"/>
    <x v="1"/>
    <x v="1"/>
    <x v="0"/>
    <n v="5.59"/>
    <x v="0"/>
    <x v="111"/>
  </r>
  <r>
    <x v="113"/>
    <x v="98"/>
    <x v="48"/>
    <x v="0"/>
    <x v="4"/>
    <x v="8"/>
    <n v="3.88"/>
    <x v="1"/>
    <x v="112"/>
  </r>
  <r>
    <x v="114"/>
    <x v="99"/>
    <x v="12"/>
    <x v="4"/>
    <x v="2"/>
    <x v="2"/>
    <n v="5.4"/>
    <x v="1"/>
    <x v="113"/>
  </r>
  <r>
    <x v="115"/>
    <x v="100"/>
    <x v="36"/>
    <x v="0"/>
    <x v="1"/>
    <x v="5"/>
    <n v="5.26"/>
    <x v="1"/>
    <x v="114"/>
  </r>
  <r>
    <x v="116"/>
    <x v="101"/>
    <x v="48"/>
    <x v="0"/>
    <x v="0"/>
    <x v="4"/>
    <n v="4.6900000000000004"/>
    <x v="1"/>
    <x v="115"/>
  </r>
  <r>
    <x v="117"/>
    <x v="102"/>
    <x v="10"/>
    <x v="2"/>
    <x v="3"/>
    <x v="4"/>
    <n v="4.2300000000000004"/>
    <x v="0"/>
    <x v="116"/>
  </r>
  <r>
    <x v="118"/>
    <x v="12"/>
    <x v="56"/>
    <x v="0"/>
    <x v="3"/>
    <x v="4"/>
    <n v="5.93"/>
    <x v="0"/>
    <x v="117"/>
  </r>
  <r>
    <x v="119"/>
    <x v="103"/>
    <x v="15"/>
    <x v="0"/>
    <x v="3"/>
    <x v="3"/>
    <n v="3.01"/>
    <x v="1"/>
    <x v="118"/>
  </r>
  <r>
    <x v="120"/>
    <x v="53"/>
    <x v="21"/>
    <x v="5"/>
    <x v="2"/>
    <x v="2"/>
    <n v="5.04"/>
    <x v="1"/>
    <x v="81"/>
  </r>
  <r>
    <x v="121"/>
    <x v="104"/>
    <x v="61"/>
    <x v="4"/>
    <x v="4"/>
    <x v="5"/>
    <n v="3.17"/>
    <x v="1"/>
    <x v="119"/>
  </r>
  <r>
    <x v="122"/>
    <x v="105"/>
    <x v="62"/>
    <x v="2"/>
    <x v="1"/>
    <x v="8"/>
    <n v="3.68"/>
    <x v="0"/>
    <x v="120"/>
  </r>
  <r>
    <x v="123"/>
    <x v="37"/>
    <x v="7"/>
    <x v="5"/>
    <x v="0"/>
    <x v="3"/>
    <n v="3.58"/>
    <x v="0"/>
    <x v="121"/>
  </r>
  <r>
    <x v="124"/>
    <x v="106"/>
    <x v="48"/>
    <x v="3"/>
    <x v="0"/>
    <x v="2"/>
    <n v="5.81"/>
    <x v="1"/>
    <x v="122"/>
  </r>
  <r>
    <x v="125"/>
    <x v="107"/>
    <x v="63"/>
    <x v="4"/>
    <x v="2"/>
    <x v="0"/>
    <n v="5.89"/>
    <x v="1"/>
    <x v="123"/>
  </r>
  <r>
    <x v="126"/>
    <x v="63"/>
    <x v="64"/>
    <x v="4"/>
    <x v="3"/>
    <x v="5"/>
    <n v="3.14"/>
    <x v="0"/>
    <x v="124"/>
  </r>
  <r>
    <x v="127"/>
    <x v="108"/>
    <x v="65"/>
    <x v="3"/>
    <x v="2"/>
    <x v="4"/>
    <n v="2.58"/>
    <x v="1"/>
    <x v="125"/>
  </r>
  <r>
    <x v="128"/>
    <x v="109"/>
    <x v="30"/>
    <x v="0"/>
    <x v="4"/>
    <x v="6"/>
    <n v="5.0199999999999996"/>
    <x v="1"/>
    <x v="126"/>
  </r>
  <r>
    <x v="129"/>
    <x v="110"/>
    <x v="66"/>
    <x v="5"/>
    <x v="4"/>
    <x v="5"/>
    <n v="3.96"/>
    <x v="0"/>
    <x v="127"/>
  </r>
  <r>
    <x v="130"/>
    <x v="111"/>
    <x v="45"/>
    <x v="1"/>
    <x v="1"/>
    <x v="7"/>
    <n v="2.81"/>
    <x v="1"/>
    <x v="128"/>
  </r>
  <r>
    <x v="131"/>
    <x v="80"/>
    <x v="67"/>
    <x v="2"/>
    <x v="1"/>
    <x v="2"/>
    <n v="4.8899999999999997"/>
    <x v="0"/>
    <x v="129"/>
  </r>
  <r>
    <x v="132"/>
    <x v="48"/>
    <x v="6"/>
    <x v="1"/>
    <x v="4"/>
    <x v="1"/>
    <n v="4.41"/>
    <x v="1"/>
    <x v="130"/>
  </r>
  <r>
    <x v="133"/>
    <x v="112"/>
    <x v="68"/>
    <x v="4"/>
    <x v="4"/>
    <x v="5"/>
    <n v="3.3"/>
    <x v="0"/>
    <x v="131"/>
  </r>
  <r>
    <x v="134"/>
    <x v="86"/>
    <x v="21"/>
    <x v="4"/>
    <x v="2"/>
    <x v="1"/>
    <n v="3.91"/>
    <x v="0"/>
    <x v="132"/>
  </r>
  <r>
    <x v="135"/>
    <x v="113"/>
    <x v="13"/>
    <x v="2"/>
    <x v="4"/>
    <x v="7"/>
    <n v="4.4000000000000004"/>
    <x v="1"/>
    <x v="133"/>
  </r>
  <r>
    <x v="136"/>
    <x v="91"/>
    <x v="56"/>
    <x v="4"/>
    <x v="0"/>
    <x v="8"/>
    <n v="5.27"/>
    <x v="0"/>
    <x v="134"/>
  </r>
  <r>
    <x v="137"/>
    <x v="114"/>
    <x v="1"/>
    <x v="4"/>
    <x v="3"/>
    <x v="6"/>
    <n v="4.42"/>
    <x v="1"/>
    <x v="135"/>
  </r>
  <r>
    <x v="138"/>
    <x v="115"/>
    <x v="56"/>
    <x v="2"/>
    <x v="4"/>
    <x v="1"/>
    <n v="4.6500000000000004"/>
    <x v="1"/>
    <x v="136"/>
  </r>
  <r>
    <x v="139"/>
    <x v="116"/>
    <x v="7"/>
    <x v="5"/>
    <x v="3"/>
    <x v="2"/>
    <n v="3.29"/>
    <x v="0"/>
    <x v="23"/>
  </r>
  <r>
    <x v="140"/>
    <x v="117"/>
    <x v="69"/>
    <x v="5"/>
    <x v="2"/>
    <x v="4"/>
    <n v="5.46"/>
    <x v="1"/>
    <x v="97"/>
  </r>
  <r>
    <x v="141"/>
    <x v="91"/>
    <x v="24"/>
    <x v="2"/>
    <x v="3"/>
    <x v="7"/>
    <n v="4"/>
    <x v="1"/>
    <x v="137"/>
  </r>
  <r>
    <x v="142"/>
    <x v="74"/>
    <x v="22"/>
    <x v="3"/>
    <x v="2"/>
    <x v="6"/>
    <n v="2.99"/>
    <x v="0"/>
    <x v="138"/>
  </r>
  <r>
    <x v="143"/>
    <x v="118"/>
    <x v="23"/>
    <x v="4"/>
    <x v="0"/>
    <x v="0"/>
    <n v="4.82"/>
    <x v="0"/>
    <x v="12"/>
  </r>
  <r>
    <x v="144"/>
    <x v="119"/>
    <x v="36"/>
    <x v="4"/>
    <x v="2"/>
    <x v="4"/>
    <n v="3.26"/>
    <x v="1"/>
    <x v="139"/>
  </r>
  <r>
    <x v="145"/>
    <x v="120"/>
    <x v="61"/>
    <x v="3"/>
    <x v="2"/>
    <x v="5"/>
    <n v="2.84"/>
    <x v="0"/>
    <x v="140"/>
  </r>
  <r>
    <x v="146"/>
    <x v="121"/>
    <x v="47"/>
    <x v="5"/>
    <x v="1"/>
    <x v="1"/>
    <n v="5.52"/>
    <x v="0"/>
    <x v="141"/>
  </r>
  <r>
    <x v="147"/>
    <x v="122"/>
    <x v="52"/>
    <x v="0"/>
    <x v="4"/>
    <x v="6"/>
    <n v="4.1100000000000003"/>
    <x v="0"/>
    <x v="142"/>
  </r>
  <r>
    <x v="148"/>
    <x v="123"/>
    <x v="69"/>
    <x v="0"/>
    <x v="4"/>
    <x v="3"/>
    <n v="5.12"/>
    <x v="0"/>
    <x v="143"/>
  </r>
  <r>
    <x v="149"/>
    <x v="83"/>
    <x v="28"/>
    <x v="0"/>
    <x v="0"/>
    <x v="8"/>
    <n v="3.52"/>
    <x v="1"/>
    <x v="144"/>
  </r>
  <r>
    <x v="150"/>
    <x v="124"/>
    <x v="50"/>
    <x v="5"/>
    <x v="0"/>
    <x v="8"/>
    <n v="5.25"/>
    <x v="1"/>
    <x v="145"/>
  </r>
  <r>
    <x v="151"/>
    <x v="125"/>
    <x v="70"/>
    <x v="5"/>
    <x v="4"/>
    <x v="7"/>
    <n v="2.89"/>
    <x v="1"/>
    <x v="146"/>
  </r>
  <r>
    <x v="152"/>
    <x v="126"/>
    <x v="59"/>
    <x v="3"/>
    <x v="1"/>
    <x v="0"/>
    <n v="3.75"/>
    <x v="0"/>
    <x v="147"/>
  </r>
  <r>
    <x v="153"/>
    <x v="127"/>
    <x v="63"/>
    <x v="4"/>
    <x v="4"/>
    <x v="7"/>
    <n v="5.92"/>
    <x v="0"/>
    <x v="148"/>
  </r>
  <r>
    <x v="154"/>
    <x v="128"/>
    <x v="60"/>
    <x v="3"/>
    <x v="1"/>
    <x v="3"/>
    <n v="5.28"/>
    <x v="0"/>
    <x v="149"/>
  </r>
  <r>
    <x v="155"/>
    <x v="28"/>
    <x v="64"/>
    <x v="3"/>
    <x v="0"/>
    <x v="2"/>
    <n v="4.24"/>
    <x v="0"/>
    <x v="150"/>
  </r>
  <r>
    <x v="156"/>
    <x v="129"/>
    <x v="43"/>
    <x v="5"/>
    <x v="3"/>
    <x v="0"/>
    <n v="3.69"/>
    <x v="0"/>
    <x v="151"/>
  </r>
  <r>
    <x v="157"/>
    <x v="98"/>
    <x v="47"/>
    <x v="6"/>
    <x v="0"/>
    <x v="2"/>
    <n v="5.55"/>
    <x v="0"/>
    <x v="152"/>
  </r>
  <r>
    <x v="158"/>
    <x v="130"/>
    <x v="22"/>
    <x v="1"/>
    <x v="0"/>
    <x v="0"/>
    <n v="4.41"/>
    <x v="0"/>
    <x v="153"/>
  </r>
  <r>
    <x v="159"/>
    <x v="127"/>
    <x v="3"/>
    <x v="4"/>
    <x v="2"/>
    <x v="0"/>
    <n v="5.15"/>
    <x v="1"/>
    <x v="2"/>
  </r>
  <r>
    <x v="160"/>
    <x v="92"/>
    <x v="12"/>
    <x v="5"/>
    <x v="2"/>
    <x v="3"/>
    <n v="5.14"/>
    <x v="1"/>
    <x v="154"/>
  </r>
  <r>
    <x v="161"/>
    <x v="64"/>
    <x v="62"/>
    <x v="1"/>
    <x v="2"/>
    <x v="3"/>
    <n v="2.94"/>
    <x v="0"/>
    <x v="6"/>
  </r>
  <r>
    <x v="162"/>
    <x v="50"/>
    <x v="37"/>
    <x v="1"/>
    <x v="1"/>
    <x v="0"/>
    <n v="4.8099999999999996"/>
    <x v="0"/>
    <x v="155"/>
  </r>
  <r>
    <x v="163"/>
    <x v="131"/>
    <x v="2"/>
    <x v="5"/>
    <x v="4"/>
    <x v="6"/>
    <n v="3.07"/>
    <x v="1"/>
    <x v="156"/>
  </r>
  <r>
    <x v="164"/>
    <x v="9"/>
    <x v="40"/>
    <x v="2"/>
    <x v="3"/>
    <x v="2"/>
    <n v="3.39"/>
    <x v="1"/>
    <x v="157"/>
  </r>
  <r>
    <x v="165"/>
    <x v="132"/>
    <x v="17"/>
    <x v="4"/>
    <x v="0"/>
    <x v="3"/>
    <n v="5.81"/>
    <x v="0"/>
    <x v="158"/>
  </r>
  <r>
    <x v="166"/>
    <x v="133"/>
    <x v="23"/>
    <x v="1"/>
    <x v="1"/>
    <x v="5"/>
    <n v="4.46"/>
    <x v="0"/>
    <x v="159"/>
  </r>
  <r>
    <x v="167"/>
    <x v="91"/>
    <x v="17"/>
    <x v="6"/>
    <x v="3"/>
    <x v="1"/>
    <n v="5.13"/>
    <x v="1"/>
    <x v="160"/>
  </r>
  <r>
    <x v="168"/>
    <x v="30"/>
    <x v="21"/>
    <x v="5"/>
    <x v="1"/>
    <x v="7"/>
    <n v="4.45"/>
    <x v="1"/>
    <x v="161"/>
  </r>
  <r>
    <x v="169"/>
    <x v="134"/>
    <x v="71"/>
    <x v="0"/>
    <x v="1"/>
    <x v="0"/>
    <n v="4.43"/>
    <x v="1"/>
    <x v="162"/>
  </r>
  <r>
    <x v="170"/>
    <x v="110"/>
    <x v="4"/>
    <x v="2"/>
    <x v="0"/>
    <x v="1"/>
    <n v="2.83"/>
    <x v="1"/>
    <x v="163"/>
  </r>
  <r>
    <x v="171"/>
    <x v="135"/>
    <x v="40"/>
    <x v="4"/>
    <x v="4"/>
    <x v="8"/>
    <n v="3.7"/>
    <x v="0"/>
    <x v="164"/>
  </r>
  <r>
    <x v="172"/>
    <x v="136"/>
    <x v="72"/>
    <x v="3"/>
    <x v="2"/>
    <x v="4"/>
    <n v="3.49"/>
    <x v="1"/>
    <x v="165"/>
  </r>
  <r>
    <x v="173"/>
    <x v="137"/>
    <x v="27"/>
    <x v="0"/>
    <x v="4"/>
    <x v="5"/>
    <n v="3.87"/>
    <x v="1"/>
    <x v="166"/>
  </r>
  <r>
    <x v="174"/>
    <x v="138"/>
    <x v="54"/>
    <x v="1"/>
    <x v="0"/>
    <x v="4"/>
    <n v="5.29"/>
    <x v="0"/>
    <x v="167"/>
  </r>
  <r>
    <x v="175"/>
    <x v="109"/>
    <x v="66"/>
    <x v="1"/>
    <x v="0"/>
    <x v="5"/>
    <n v="3.8"/>
    <x v="1"/>
    <x v="168"/>
  </r>
  <r>
    <x v="176"/>
    <x v="139"/>
    <x v="34"/>
    <x v="0"/>
    <x v="0"/>
    <x v="6"/>
    <n v="4.08"/>
    <x v="1"/>
    <x v="169"/>
  </r>
  <r>
    <x v="177"/>
    <x v="140"/>
    <x v="26"/>
    <x v="5"/>
    <x v="3"/>
    <x v="7"/>
    <n v="3.89"/>
    <x v="1"/>
    <x v="170"/>
  </r>
  <r>
    <x v="178"/>
    <x v="141"/>
    <x v="6"/>
    <x v="1"/>
    <x v="4"/>
    <x v="1"/>
    <n v="2.83"/>
    <x v="0"/>
    <x v="163"/>
  </r>
  <r>
    <x v="179"/>
    <x v="142"/>
    <x v="65"/>
    <x v="2"/>
    <x v="4"/>
    <x v="2"/>
    <n v="4.04"/>
    <x v="1"/>
    <x v="171"/>
  </r>
  <r>
    <x v="180"/>
    <x v="134"/>
    <x v="14"/>
    <x v="4"/>
    <x v="1"/>
    <x v="5"/>
    <n v="3.18"/>
    <x v="0"/>
    <x v="172"/>
  </r>
  <r>
    <x v="181"/>
    <x v="38"/>
    <x v="15"/>
    <x v="2"/>
    <x v="1"/>
    <x v="2"/>
    <n v="3.15"/>
    <x v="0"/>
    <x v="173"/>
  </r>
  <r>
    <x v="182"/>
    <x v="143"/>
    <x v="16"/>
    <x v="1"/>
    <x v="1"/>
    <x v="7"/>
    <n v="2.83"/>
    <x v="1"/>
    <x v="174"/>
  </r>
  <r>
    <x v="183"/>
    <x v="102"/>
    <x v="5"/>
    <x v="3"/>
    <x v="0"/>
    <x v="0"/>
    <n v="3.75"/>
    <x v="1"/>
    <x v="147"/>
  </r>
  <r>
    <x v="184"/>
    <x v="13"/>
    <x v="68"/>
    <x v="4"/>
    <x v="4"/>
    <x v="8"/>
    <n v="5.15"/>
    <x v="1"/>
    <x v="175"/>
  </r>
  <r>
    <x v="185"/>
    <x v="144"/>
    <x v="44"/>
    <x v="4"/>
    <x v="0"/>
    <x v="1"/>
    <n v="3.47"/>
    <x v="1"/>
    <x v="92"/>
  </r>
  <r>
    <x v="186"/>
    <x v="123"/>
    <x v="69"/>
    <x v="0"/>
    <x v="3"/>
    <x v="7"/>
    <n v="3.59"/>
    <x v="0"/>
    <x v="176"/>
  </r>
  <r>
    <x v="187"/>
    <x v="116"/>
    <x v="45"/>
    <x v="0"/>
    <x v="1"/>
    <x v="7"/>
    <n v="4.75"/>
    <x v="1"/>
    <x v="177"/>
  </r>
  <r>
    <x v="188"/>
    <x v="137"/>
    <x v="73"/>
    <x v="3"/>
    <x v="0"/>
    <x v="6"/>
    <n v="3.19"/>
    <x v="1"/>
    <x v="178"/>
  </r>
  <r>
    <x v="189"/>
    <x v="145"/>
    <x v="25"/>
    <x v="5"/>
    <x v="0"/>
    <x v="4"/>
    <n v="5.64"/>
    <x v="1"/>
    <x v="179"/>
  </r>
  <r>
    <x v="190"/>
    <x v="146"/>
    <x v="67"/>
    <x v="4"/>
    <x v="3"/>
    <x v="8"/>
    <n v="4.32"/>
    <x v="0"/>
    <x v="37"/>
  </r>
  <r>
    <x v="191"/>
    <x v="141"/>
    <x v="33"/>
    <x v="3"/>
    <x v="2"/>
    <x v="1"/>
    <n v="4.07"/>
    <x v="1"/>
    <x v="180"/>
  </r>
  <r>
    <x v="192"/>
    <x v="115"/>
    <x v="51"/>
    <x v="0"/>
    <x v="4"/>
    <x v="0"/>
    <n v="4.45"/>
    <x v="1"/>
    <x v="181"/>
  </r>
  <r>
    <x v="193"/>
    <x v="95"/>
    <x v="6"/>
    <x v="0"/>
    <x v="2"/>
    <x v="0"/>
    <n v="3.08"/>
    <x v="0"/>
    <x v="182"/>
  </r>
  <r>
    <x v="194"/>
    <x v="147"/>
    <x v="11"/>
    <x v="4"/>
    <x v="1"/>
    <x v="3"/>
    <n v="4.6500000000000004"/>
    <x v="0"/>
    <x v="183"/>
  </r>
  <r>
    <x v="195"/>
    <x v="146"/>
    <x v="52"/>
    <x v="2"/>
    <x v="0"/>
    <x v="7"/>
    <n v="3.77"/>
    <x v="1"/>
    <x v="184"/>
  </r>
  <r>
    <x v="196"/>
    <x v="105"/>
    <x v="28"/>
    <x v="1"/>
    <x v="3"/>
    <x v="5"/>
    <n v="5.64"/>
    <x v="1"/>
    <x v="185"/>
  </r>
  <r>
    <x v="197"/>
    <x v="146"/>
    <x v="74"/>
    <x v="0"/>
    <x v="3"/>
    <x v="6"/>
    <n v="3.09"/>
    <x v="1"/>
    <x v="186"/>
  </r>
  <r>
    <x v="198"/>
    <x v="55"/>
    <x v="18"/>
    <x v="5"/>
    <x v="4"/>
    <x v="8"/>
    <n v="4.2699999999999996"/>
    <x v="1"/>
    <x v="187"/>
  </r>
  <r>
    <x v="199"/>
    <x v="124"/>
    <x v="66"/>
    <x v="5"/>
    <x v="2"/>
    <x v="0"/>
    <n v="4.59"/>
    <x v="1"/>
    <x v="188"/>
  </r>
  <r>
    <x v="200"/>
    <x v="146"/>
    <x v="35"/>
    <x v="0"/>
    <x v="4"/>
    <x v="1"/>
    <n v="2.62"/>
    <x v="0"/>
    <x v="189"/>
  </r>
  <r>
    <x v="201"/>
    <x v="57"/>
    <x v="54"/>
    <x v="2"/>
    <x v="0"/>
    <x v="3"/>
    <n v="3.77"/>
    <x v="0"/>
    <x v="190"/>
  </r>
  <r>
    <x v="202"/>
    <x v="148"/>
    <x v="28"/>
    <x v="2"/>
    <x v="4"/>
    <x v="1"/>
    <n v="5.0599999999999996"/>
    <x v="1"/>
    <x v="191"/>
  </r>
  <r>
    <x v="203"/>
    <x v="149"/>
    <x v="65"/>
    <x v="3"/>
    <x v="3"/>
    <x v="6"/>
    <n v="5.37"/>
    <x v="1"/>
    <x v="192"/>
  </r>
  <r>
    <x v="204"/>
    <x v="58"/>
    <x v="6"/>
    <x v="5"/>
    <x v="3"/>
    <x v="5"/>
    <n v="3.6"/>
    <x v="0"/>
    <x v="193"/>
  </r>
  <r>
    <x v="205"/>
    <x v="150"/>
    <x v="63"/>
    <x v="3"/>
    <x v="1"/>
    <x v="3"/>
    <n v="5.3"/>
    <x v="1"/>
    <x v="194"/>
  </r>
  <r>
    <x v="206"/>
    <x v="151"/>
    <x v="24"/>
    <x v="5"/>
    <x v="1"/>
    <x v="3"/>
    <n v="5.89"/>
    <x v="1"/>
    <x v="195"/>
  </r>
  <r>
    <x v="207"/>
    <x v="134"/>
    <x v="32"/>
    <x v="1"/>
    <x v="0"/>
    <x v="4"/>
    <n v="5.5"/>
    <x v="1"/>
    <x v="196"/>
  </r>
  <r>
    <x v="208"/>
    <x v="152"/>
    <x v="68"/>
    <x v="1"/>
    <x v="2"/>
    <x v="8"/>
    <n v="2.91"/>
    <x v="1"/>
    <x v="197"/>
  </r>
  <r>
    <x v="209"/>
    <x v="148"/>
    <x v="44"/>
    <x v="4"/>
    <x v="4"/>
    <x v="3"/>
    <n v="5.09"/>
    <x v="1"/>
    <x v="198"/>
  </r>
  <r>
    <x v="210"/>
    <x v="49"/>
    <x v="51"/>
    <x v="6"/>
    <x v="0"/>
    <x v="4"/>
    <n v="3.62"/>
    <x v="0"/>
    <x v="199"/>
  </r>
  <r>
    <x v="211"/>
    <x v="102"/>
    <x v="64"/>
    <x v="0"/>
    <x v="1"/>
    <x v="4"/>
    <n v="5.96"/>
    <x v="1"/>
    <x v="200"/>
  </r>
  <r>
    <x v="212"/>
    <x v="63"/>
    <x v="46"/>
    <x v="3"/>
    <x v="4"/>
    <x v="6"/>
    <n v="4.2"/>
    <x v="1"/>
    <x v="201"/>
  </r>
  <r>
    <x v="213"/>
    <x v="123"/>
    <x v="29"/>
    <x v="0"/>
    <x v="1"/>
    <x v="2"/>
    <n v="2.93"/>
    <x v="1"/>
    <x v="202"/>
  </r>
  <r>
    <x v="214"/>
    <x v="139"/>
    <x v="46"/>
    <x v="2"/>
    <x v="4"/>
    <x v="1"/>
    <n v="5.04"/>
    <x v="0"/>
    <x v="203"/>
  </r>
  <r>
    <x v="215"/>
    <x v="153"/>
    <x v="31"/>
    <x v="3"/>
    <x v="2"/>
    <x v="5"/>
    <n v="3.63"/>
    <x v="0"/>
    <x v="204"/>
  </r>
  <r>
    <x v="216"/>
    <x v="154"/>
    <x v="12"/>
    <x v="2"/>
    <x v="0"/>
    <x v="1"/>
    <n v="5.99"/>
    <x v="0"/>
    <x v="205"/>
  </r>
  <r>
    <x v="217"/>
    <x v="155"/>
    <x v="12"/>
    <x v="1"/>
    <x v="4"/>
    <x v="3"/>
    <n v="5.93"/>
    <x v="0"/>
    <x v="206"/>
  </r>
  <r>
    <x v="218"/>
    <x v="156"/>
    <x v="34"/>
    <x v="1"/>
    <x v="3"/>
    <x v="5"/>
    <n v="4.8"/>
    <x v="1"/>
    <x v="26"/>
  </r>
  <r>
    <x v="219"/>
    <x v="157"/>
    <x v="41"/>
    <x v="4"/>
    <x v="3"/>
    <x v="0"/>
    <n v="2.95"/>
    <x v="0"/>
    <x v="207"/>
  </r>
  <r>
    <x v="220"/>
    <x v="108"/>
    <x v="26"/>
    <x v="3"/>
    <x v="4"/>
    <x v="2"/>
    <n v="4.9000000000000004"/>
    <x v="1"/>
    <x v="52"/>
  </r>
  <r>
    <x v="221"/>
    <x v="18"/>
    <x v="63"/>
    <x v="2"/>
    <x v="4"/>
    <x v="0"/>
    <n v="2.83"/>
    <x v="1"/>
    <x v="208"/>
  </r>
  <r>
    <x v="222"/>
    <x v="76"/>
    <x v="8"/>
    <x v="0"/>
    <x v="4"/>
    <x v="0"/>
    <n v="2.6"/>
    <x v="0"/>
    <x v="105"/>
  </r>
  <r>
    <x v="223"/>
    <x v="158"/>
    <x v="56"/>
    <x v="1"/>
    <x v="3"/>
    <x v="8"/>
    <n v="5.38"/>
    <x v="0"/>
    <x v="209"/>
  </r>
  <r>
    <x v="224"/>
    <x v="159"/>
    <x v="65"/>
    <x v="1"/>
    <x v="3"/>
    <x v="1"/>
    <n v="3.23"/>
    <x v="0"/>
    <x v="210"/>
  </r>
  <r>
    <x v="225"/>
    <x v="139"/>
    <x v="57"/>
    <x v="0"/>
    <x v="4"/>
    <x v="6"/>
    <n v="3.83"/>
    <x v="0"/>
    <x v="211"/>
  </r>
  <r>
    <x v="226"/>
    <x v="160"/>
    <x v="30"/>
    <x v="2"/>
    <x v="1"/>
    <x v="0"/>
    <n v="5.91"/>
    <x v="0"/>
    <x v="212"/>
  </r>
  <r>
    <x v="227"/>
    <x v="161"/>
    <x v="11"/>
    <x v="2"/>
    <x v="1"/>
    <x v="3"/>
    <n v="3.68"/>
    <x v="1"/>
    <x v="213"/>
  </r>
  <r>
    <x v="228"/>
    <x v="162"/>
    <x v="1"/>
    <x v="3"/>
    <x v="2"/>
    <x v="2"/>
    <n v="3.54"/>
    <x v="0"/>
    <x v="214"/>
  </r>
  <r>
    <x v="229"/>
    <x v="93"/>
    <x v="19"/>
    <x v="3"/>
    <x v="0"/>
    <x v="7"/>
    <n v="5.71"/>
    <x v="0"/>
    <x v="215"/>
  </r>
  <r>
    <x v="230"/>
    <x v="163"/>
    <x v="62"/>
    <x v="5"/>
    <x v="1"/>
    <x v="0"/>
    <n v="2.89"/>
    <x v="0"/>
    <x v="216"/>
  </r>
  <r>
    <x v="231"/>
    <x v="124"/>
    <x v="48"/>
    <x v="6"/>
    <x v="3"/>
    <x v="2"/>
    <n v="5.16"/>
    <x v="1"/>
    <x v="217"/>
  </r>
  <r>
    <x v="232"/>
    <x v="164"/>
    <x v="18"/>
    <x v="4"/>
    <x v="1"/>
    <x v="5"/>
    <n v="5.96"/>
    <x v="0"/>
    <x v="218"/>
  </r>
  <r>
    <x v="233"/>
    <x v="1"/>
    <x v="19"/>
    <x v="1"/>
    <x v="2"/>
    <x v="1"/>
    <n v="5.65"/>
    <x v="1"/>
    <x v="219"/>
  </r>
  <r>
    <x v="234"/>
    <x v="138"/>
    <x v="60"/>
    <x v="3"/>
    <x v="2"/>
    <x v="4"/>
    <n v="4.78"/>
    <x v="0"/>
    <x v="220"/>
  </r>
  <r>
    <x v="235"/>
    <x v="165"/>
    <x v="64"/>
    <x v="2"/>
    <x v="0"/>
    <x v="8"/>
    <n v="3.6"/>
    <x v="0"/>
    <x v="221"/>
  </r>
  <r>
    <x v="236"/>
    <x v="70"/>
    <x v="4"/>
    <x v="0"/>
    <x v="1"/>
    <x v="2"/>
    <n v="3.39"/>
    <x v="1"/>
    <x v="157"/>
  </r>
  <r>
    <x v="237"/>
    <x v="48"/>
    <x v="3"/>
    <x v="2"/>
    <x v="3"/>
    <x v="3"/>
    <n v="5.37"/>
    <x v="0"/>
    <x v="222"/>
  </r>
  <r>
    <x v="238"/>
    <x v="166"/>
    <x v="11"/>
    <x v="1"/>
    <x v="3"/>
    <x v="3"/>
    <n v="5.58"/>
    <x v="1"/>
    <x v="223"/>
  </r>
  <r>
    <x v="239"/>
    <x v="165"/>
    <x v="60"/>
    <x v="5"/>
    <x v="4"/>
    <x v="2"/>
    <n v="4.34"/>
    <x v="1"/>
    <x v="224"/>
  </r>
  <r>
    <x v="240"/>
    <x v="113"/>
    <x v="51"/>
    <x v="2"/>
    <x v="3"/>
    <x v="3"/>
    <n v="3.36"/>
    <x v="1"/>
    <x v="225"/>
  </r>
  <r>
    <x v="241"/>
    <x v="167"/>
    <x v="47"/>
    <x v="4"/>
    <x v="0"/>
    <x v="1"/>
    <n v="2.9"/>
    <x v="0"/>
    <x v="226"/>
  </r>
  <r>
    <x v="242"/>
    <x v="168"/>
    <x v="34"/>
    <x v="1"/>
    <x v="0"/>
    <x v="3"/>
    <n v="2.81"/>
    <x v="0"/>
    <x v="227"/>
  </r>
  <r>
    <x v="243"/>
    <x v="132"/>
    <x v="69"/>
    <x v="5"/>
    <x v="3"/>
    <x v="4"/>
    <n v="5.0199999999999996"/>
    <x v="0"/>
    <x v="228"/>
  </r>
  <r>
    <x v="244"/>
    <x v="169"/>
    <x v="29"/>
    <x v="0"/>
    <x v="3"/>
    <x v="3"/>
    <n v="3.97"/>
    <x v="1"/>
    <x v="229"/>
  </r>
  <r>
    <x v="245"/>
    <x v="75"/>
    <x v="75"/>
    <x v="5"/>
    <x v="4"/>
    <x v="4"/>
    <n v="5.67"/>
    <x v="0"/>
    <x v="230"/>
  </r>
  <r>
    <x v="246"/>
    <x v="12"/>
    <x v="50"/>
    <x v="4"/>
    <x v="3"/>
    <x v="0"/>
    <n v="5.09"/>
    <x v="1"/>
    <x v="231"/>
  </r>
  <r>
    <x v="247"/>
    <x v="170"/>
    <x v="73"/>
    <x v="1"/>
    <x v="4"/>
    <x v="6"/>
    <n v="3.17"/>
    <x v="0"/>
    <x v="232"/>
  </r>
  <r>
    <x v="248"/>
    <x v="171"/>
    <x v="22"/>
    <x v="0"/>
    <x v="4"/>
    <x v="1"/>
    <n v="4.6500000000000004"/>
    <x v="1"/>
    <x v="136"/>
  </r>
  <r>
    <x v="249"/>
    <x v="172"/>
    <x v="8"/>
    <x v="4"/>
    <x v="3"/>
    <x v="6"/>
    <n v="4.0199999999999996"/>
    <x v="1"/>
    <x v="233"/>
  </r>
  <r>
    <x v="250"/>
    <x v="173"/>
    <x v="55"/>
    <x v="5"/>
    <x v="2"/>
    <x v="0"/>
    <n v="4.5199999999999996"/>
    <x v="1"/>
    <x v="234"/>
  </r>
  <r>
    <x v="251"/>
    <x v="101"/>
    <x v="27"/>
    <x v="4"/>
    <x v="2"/>
    <x v="1"/>
    <n v="5.08"/>
    <x v="0"/>
    <x v="235"/>
  </r>
  <r>
    <x v="252"/>
    <x v="174"/>
    <x v="55"/>
    <x v="1"/>
    <x v="4"/>
    <x v="2"/>
    <n v="5.32"/>
    <x v="1"/>
    <x v="236"/>
  </r>
  <r>
    <x v="253"/>
    <x v="70"/>
    <x v="4"/>
    <x v="3"/>
    <x v="3"/>
    <x v="2"/>
    <n v="5.45"/>
    <x v="1"/>
    <x v="3"/>
  </r>
  <r>
    <x v="254"/>
    <x v="161"/>
    <x v="33"/>
    <x v="4"/>
    <x v="2"/>
    <x v="4"/>
    <n v="3.39"/>
    <x v="1"/>
    <x v="237"/>
  </r>
  <r>
    <x v="255"/>
    <x v="48"/>
    <x v="75"/>
    <x v="4"/>
    <x v="3"/>
    <x v="0"/>
    <n v="2.61"/>
    <x v="1"/>
    <x v="238"/>
  </r>
  <r>
    <x v="256"/>
    <x v="175"/>
    <x v="8"/>
    <x v="5"/>
    <x v="3"/>
    <x v="4"/>
    <n v="5.09"/>
    <x v="1"/>
    <x v="239"/>
  </r>
  <r>
    <x v="257"/>
    <x v="176"/>
    <x v="66"/>
    <x v="5"/>
    <x v="3"/>
    <x v="8"/>
    <n v="2.87"/>
    <x v="1"/>
    <x v="240"/>
  </r>
  <r>
    <x v="258"/>
    <x v="57"/>
    <x v="42"/>
    <x v="0"/>
    <x v="1"/>
    <x v="3"/>
    <n v="3.6"/>
    <x v="0"/>
    <x v="241"/>
  </r>
  <r>
    <x v="259"/>
    <x v="69"/>
    <x v="55"/>
    <x v="5"/>
    <x v="3"/>
    <x v="7"/>
    <n v="2.5099999999999998"/>
    <x v="0"/>
    <x v="242"/>
  </r>
  <r>
    <x v="260"/>
    <x v="177"/>
    <x v="75"/>
    <x v="2"/>
    <x v="1"/>
    <x v="8"/>
    <n v="4.8899999999999997"/>
    <x v="1"/>
    <x v="243"/>
  </r>
  <r>
    <x v="261"/>
    <x v="178"/>
    <x v="33"/>
    <x v="1"/>
    <x v="4"/>
    <x v="3"/>
    <n v="3.08"/>
    <x v="0"/>
    <x v="60"/>
  </r>
  <r>
    <x v="262"/>
    <x v="179"/>
    <x v="8"/>
    <x v="1"/>
    <x v="2"/>
    <x v="1"/>
    <n v="4.79"/>
    <x v="0"/>
    <x v="244"/>
  </r>
  <r>
    <x v="263"/>
    <x v="123"/>
    <x v="51"/>
    <x v="3"/>
    <x v="2"/>
    <x v="4"/>
    <n v="5.97"/>
    <x v="1"/>
    <x v="245"/>
  </r>
  <r>
    <x v="264"/>
    <x v="84"/>
    <x v="14"/>
    <x v="3"/>
    <x v="2"/>
    <x v="1"/>
    <n v="2.75"/>
    <x v="1"/>
    <x v="246"/>
  </r>
  <r>
    <x v="265"/>
    <x v="137"/>
    <x v="57"/>
    <x v="1"/>
    <x v="2"/>
    <x v="1"/>
    <n v="2.77"/>
    <x v="1"/>
    <x v="247"/>
  </r>
  <r>
    <x v="266"/>
    <x v="101"/>
    <x v="25"/>
    <x v="3"/>
    <x v="2"/>
    <x v="3"/>
    <n v="3.69"/>
    <x v="0"/>
    <x v="248"/>
  </r>
  <r>
    <x v="267"/>
    <x v="166"/>
    <x v="67"/>
    <x v="0"/>
    <x v="2"/>
    <x v="0"/>
    <n v="5.53"/>
    <x v="1"/>
    <x v="249"/>
  </r>
  <r>
    <x v="268"/>
    <x v="69"/>
    <x v="34"/>
    <x v="5"/>
    <x v="2"/>
    <x v="3"/>
    <n v="3.25"/>
    <x v="0"/>
    <x v="250"/>
  </r>
  <r>
    <x v="269"/>
    <x v="73"/>
    <x v="12"/>
    <x v="1"/>
    <x v="4"/>
    <x v="5"/>
    <n v="3.76"/>
    <x v="1"/>
    <x v="251"/>
  </r>
  <r>
    <x v="270"/>
    <x v="37"/>
    <x v="34"/>
    <x v="3"/>
    <x v="3"/>
    <x v="2"/>
    <n v="2.74"/>
    <x v="0"/>
    <x v="252"/>
  </r>
  <r>
    <x v="271"/>
    <x v="13"/>
    <x v="44"/>
    <x v="1"/>
    <x v="0"/>
    <x v="2"/>
    <n v="5.17"/>
    <x v="1"/>
    <x v="253"/>
  </r>
  <r>
    <x v="272"/>
    <x v="58"/>
    <x v="19"/>
    <x v="2"/>
    <x v="1"/>
    <x v="8"/>
    <n v="3.93"/>
    <x v="1"/>
    <x v="254"/>
  </r>
  <r>
    <x v="273"/>
    <x v="180"/>
    <x v="68"/>
    <x v="4"/>
    <x v="0"/>
    <x v="2"/>
    <n v="5.16"/>
    <x v="0"/>
    <x v="217"/>
  </r>
  <r>
    <x v="274"/>
    <x v="21"/>
    <x v="46"/>
    <x v="5"/>
    <x v="0"/>
    <x v="3"/>
    <n v="5.66"/>
    <x v="0"/>
    <x v="163"/>
  </r>
  <r>
    <x v="275"/>
    <x v="136"/>
    <x v="73"/>
    <x v="1"/>
    <x v="3"/>
    <x v="4"/>
    <n v="3.31"/>
    <x v="0"/>
    <x v="255"/>
  </r>
  <r>
    <x v="276"/>
    <x v="181"/>
    <x v="65"/>
    <x v="4"/>
    <x v="3"/>
    <x v="3"/>
    <n v="5.33"/>
    <x v="0"/>
    <x v="256"/>
  </r>
  <r>
    <x v="277"/>
    <x v="146"/>
    <x v="9"/>
    <x v="3"/>
    <x v="3"/>
    <x v="3"/>
    <n v="2.71"/>
    <x v="0"/>
    <x v="257"/>
  </r>
  <r>
    <x v="278"/>
    <x v="182"/>
    <x v="22"/>
    <x v="4"/>
    <x v="2"/>
    <x v="7"/>
    <n v="5.65"/>
    <x v="0"/>
    <x v="258"/>
  </r>
  <r>
    <x v="279"/>
    <x v="50"/>
    <x v="29"/>
    <x v="5"/>
    <x v="4"/>
    <x v="4"/>
    <n v="4.78"/>
    <x v="1"/>
    <x v="220"/>
  </r>
  <r>
    <x v="280"/>
    <x v="177"/>
    <x v="32"/>
    <x v="1"/>
    <x v="2"/>
    <x v="5"/>
    <n v="5.56"/>
    <x v="0"/>
    <x v="259"/>
  </r>
  <r>
    <x v="281"/>
    <x v="104"/>
    <x v="22"/>
    <x v="2"/>
    <x v="4"/>
    <x v="2"/>
    <n v="2.5"/>
    <x v="1"/>
    <x v="260"/>
  </r>
  <r>
    <x v="282"/>
    <x v="175"/>
    <x v="43"/>
    <x v="3"/>
    <x v="4"/>
    <x v="4"/>
    <n v="3.09"/>
    <x v="1"/>
    <x v="261"/>
  </r>
  <r>
    <x v="283"/>
    <x v="101"/>
    <x v="17"/>
    <x v="1"/>
    <x v="0"/>
    <x v="2"/>
    <n v="3.86"/>
    <x v="0"/>
    <x v="262"/>
  </r>
  <r>
    <x v="284"/>
    <x v="183"/>
    <x v="57"/>
    <x v="5"/>
    <x v="0"/>
    <x v="8"/>
    <n v="3.83"/>
    <x v="1"/>
    <x v="263"/>
  </r>
  <r>
    <x v="285"/>
    <x v="1"/>
    <x v="57"/>
    <x v="3"/>
    <x v="4"/>
    <x v="4"/>
    <n v="3.29"/>
    <x v="0"/>
    <x v="264"/>
  </r>
  <r>
    <x v="286"/>
    <x v="75"/>
    <x v="67"/>
    <x v="0"/>
    <x v="4"/>
    <x v="2"/>
    <n v="3.84"/>
    <x v="0"/>
    <x v="265"/>
  </r>
  <r>
    <x v="287"/>
    <x v="184"/>
    <x v="45"/>
    <x v="4"/>
    <x v="2"/>
    <x v="5"/>
    <n v="2.95"/>
    <x v="1"/>
    <x v="266"/>
  </r>
  <r>
    <x v="288"/>
    <x v="61"/>
    <x v="10"/>
    <x v="5"/>
    <x v="2"/>
    <x v="6"/>
    <n v="3.94"/>
    <x v="1"/>
    <x v="267"/>
  </r>
  <r>
    <x v="289"/>
    <x v="88"/>
    <x v="10"/>
    <x v="0"/>
    <x v="0"/>
    <x v="1"/>
    <n v="5.31"/>
    <x v="0"/>
    <x v="268"/>
  </r>
  <r>
    <x v="290"/>
    <x v="73"/>
    <x v="54"/>
    <x v="1"/>
    <x v="3"/>
    <x v="1"/>
    <n v="4.18"/>
    <x v="0"/>
    <x v="72"/>
  </r>
  <r>
    <x v="291"/>
    <x v="185"/>
    <x v="1"/>
    <x v="2"/>
    <x v="4"/>
    <x v="5"/>
    <n v="2.56"/>
    <x v="1"/>
    <x v="269"/>
  </r>
  <r>
    <x v="292"/>
    <x v="21"/>
    <x v="4"/>
    <x v="3"/>
    <x v="2"/>
    <x v="7"/>
    <n v="3.98"/>
    <x v="1"/>
    <x v="270"/>
  </r>
  <r>
    <x v="293"/>
    <x v="186"/>
    <x v="7"/>
    <x v="4"/>
    <x v="0"/>
    <x v="6"/>
    <n v="2.6"/>
    <x v="1"/>
    <x v="271"/>
  </r>
  <r>
    <x v="294"/>
    <x v="89"/>
    <x v="8"/>
    <x v="3"/>
    <x v="2"/>
    <x v="8"/>
    <n v="5.88"/>
    <x v="1"/>
    <x v="272"/>
  </r>
  <r>
    <x v="295"/>
    <x v="20"/>
    <x v="36"/>
    <x v="1"/>
    <x v="4"/>
    <x v="5"/>
    <n v="2.95"/>
    <x v="0"/>
    <x v="266"/>
  </r>
  <r>
    <x v="296"/>
    <x v="69"/>
    <x v="24"/>
    <x v="3"/>
    <x v="4"/>
    <x v="1"/>
    <n v="4.9800000000000004"/>
    <x v="0"/>
    <x v="273"/>
  </r>
  <r>
    <x v="297"/>
    <x v="39"/>
    <x v="51"/>
    <x v="4"/>
    <x v="1"/>
    <x v="1"/>
    <n v="5.9"/>
    <x v="0"/>
    <x v="274"/>
  </r>
  <r>
    <x v="298"/>
    <x v="187"/>
    <x v="49"/>
    <x v="1"/>
    <x v="3"/>
    <x v="1"/>
    <n v="5.39"/>
    <x v="0"/>
    <x v="275"/>
  </r>
  <r>
    <x v="299"/>
    <x v="132"/>
    <x v="7"/>
    <x v="3"/>
    <x v="1"/>
    <x v="0"/>
    <n v="4.95"/>
    <x v="1"/>
    <x v="276"/>
  </r>
  <r>
    <x v="300"/>
    <x v="96"/>
    <x v="76"/>
    <x v="2"/>
    <x v="0"/>
    <x v="5"/>
    <n v="5.44"/>
    <x v="1"/>
    <x v="277"/>
  </r>
  <r>
    <x v="301"/>
    <x v="188"/>
    <x v="24"/>
    <x v="5"/>
    <x v="2"/>
    <x v="3"/>
    <n v="5.94"/>
    <x v="0"/>
    <x v="278"/>
  </r>
  <r>
    <x v="302"/>
    <x v="23"/>
    <x v="58"/>
    <x v="1"/>
    <x v="0"/>
    <x v="8"/>
    <n v="4.67"/>
    <x v="0"/>
    <x v="279"/>
  </r>
  <r>
    <x v="303"/>
    <x v="189"/>
    <x v="63"/>
    <x v="5"/>
    <x v="4"/>
    <x v="1"/>
    <n v="4.46"/>
    <x v="0"/>
    <x v="280"/>
  </r>
  <r>
    <x v="304"/>
    <x v="190"/>
    <x v="3"/>
    <x v="2"/>
    <x v="1"/>
    <x v="5"/>
    <n v="4.3600000000000003"/>
    <x v="0"/>
    <x v="281"/>
  </r>
  <r>
    <x v="305"/>
    <x v="191"/>
    <x v="16"/>
    <x v="5"/>
    <x v="1"/>
    <x v="0"/>
    <n v="4.72"/>
    <x v="0"/>
    <x v="282"/>
  </r>
  <r>
    <x v="306"/>
    <x v="192"/>
    <x v="19"/>
    <x v="0"/>
    <x v="0"/>
    <x v="5"/>
    <n v="4.07"/>
    <x v="0"/>
    <x v="283"/>
  </r>
  <r>
    <x v="307"/>
    <x v="32"/>
    <x v="28"/>
    <x v="4"/>
    <x v="4"/>
    <x v="8"/>
    <n v="3.26"/>
    <x v="0"/>
    <x v="284"/>
  </r>
  <r>
    <x v="308"/>
    <x v="52"/>
    <x v="41"/>
    <x v="0"/>
    <x v="2"/>
    <x v="0"/>
    <n v="2.92"/>
    <x v="0"/>
    <x v="285"/>
  </r>
  <r>
    <x v="309"/>
    <x v="110"/>
    <x v="56"/>
    <x v="3"/>
    <x v="2"/>
    <x v="8"/>
    <n v="2.74"/>
    <x v="1"/>
    <x v="286"/>
  </r>
  <r>
    <x v="310"/>
    <x v="193"/>
    <x v="54"/>
    <x v="2"/>
    <x v="0"/>
    <x v="5"/>
    <n v="3.42"/>
    <x v="0"/>
    <x v="287"/>
  </r>
  <r>
    <x v="311"/>
    <x v="194"/>
    <x v="26"/>
    <x v="0"/>
    <x v="1"/>
    <x v="3"/>
    <n v="2.66"/>
    <x v="1"/>
    <x v="288"/>
  </r>
  <r>
    <x v="312"/>
    <x v="20"/>
    <x v="18"/>
    <x v="1"/>
    <x v="3"/>
    <x v="8"/>
    <n v="4.49"/>
    <x v="1"/>
    <x v="289"/>
  </r>
  <r>
    <x v="313"/>
    <x v="131"/>
    <x v="69"/>
    <x v="3"/>
    <x v="0"/>
    <x v="0"/>
    <n v="3.49"/>
    <x v="0"/>
    <x v="290"/>
  </r>
  <r>
    <x v="314"/>
    <x v="162"/>
    <x v="67"/>
    <x v="3"/>
    <x v="0"/>
    <x v="0"/>
    <n v="5.39"/>
    <x v="0"/>
    <x v="291"/>
  </r>
  <r>
    <x v="315"/>
    <x v="127"/>
    <x v="66"/>
    <x v="0"/>
    <x v="4"/>
    <x v="8"/>
    <n v="2.76"/>
    <x v="1"/>
    <x v="292"/>
  </r>
  <r>
    <x v="316"/>
    <x v="195"/>
    <x v="77"/>
    <x v="0"/>
    <x v="2"/>
    <x v="5"/>
    <n v="3.29"/>
    <x v="1"/>
    <x v="293"/>
  </r>
  <r>
    <x v="317"/>
    <x v="69"/>
    <x v="7"/>
    <x v="2"/>
    <x v="0"/>
    <x v="7"/>
    <n v="5.0599999999999996"/>
    <x v="0"/>
    <x v="294"/>
  </r>
  <r>
    <x v="318"/>
    <x v="166"/>
    <x v="18"/>
    <x v="4"/>
    <x v="0"/>
    <x v="5"/>
    <n v="4.5999999999999996"/>
    <x v="1"/>
    <x v="295"/>
  </r>
  <r>
    <x v="319"/>
    <x v="196"/>
    <x v="23"/>
    <x v="0"/>
    <x v="1"/>
    <x v="8"/>
    <n v="2.73"/>
    <x v="0"/>
    <x v="296"/>
  </r>
  <r>
    <x v="320"/>
    <x v="53"/>
    <x v="63"/>
    <x v="0"/>
    <x v="1"/>
    <x v="6"/>
    <n v="5.57"/>
    <x v="0"/>
    <x v="297"/>
  </r>
  <r>
    <x v="321"/>
    <x v="19"/>
    <x v="17"/>
    <x v="5"/>
    <x v="3"/>
    <x v="8"/>
    <n v="5.57"/>
    <x v="0"/>
    <x v="298"/>
  </r>
  <r>
    <x v="322"/>
    <x v="197"/>
    <x v="75"/>
    <x v="5"/>
    <x v="3"/>
    <x v="8"/>
    <n v="3.69"/>
    <x v="1"/>
    <x v="299"/>
  </r>
  <r>
    <x v="323"/>
    <x v="102"/>
    <x v="69"/>
    <x v="5"/>
    <x v="1"/>
    <x v="8"/>
    <n v="5.96"/>
    <x v="0"/>
    <x v="300"/>
  </r>
  <r>
    <x v="324"/>
    <x v="149"/>
    <x v="67"/>
    <x v="3"/>
    <x v="2"/>
    <x v="3"/>
    <n v="4.6900000000000004"/>
    <x v="1"/>
    <x v="301"/>
  </r>
  <r>
    <x v="325"/>
    <x v="198"/>
    <x v="50"/>
    <x v="4"/>
    <x v="1"/>
    <x v="8"/>
    <n v="4.3600000000000003"/>
    <x v="1"/>
    <x v="302"/>
  </r>
  <r>
    <x v="326"/>
    <x v="199"/>
    <x v="40"/>
    <x v="1"/>
    <x v="4"/>
    <x v="1"/>
    <n v="5.43"/>
    <x v="1"/>
    <x v="303"/>
  </r>
  <r>
    <x v="327"/>
    <x v="200"/>
    <x v="41"/>
    <x v="2"/>
    <x v="1"/>
    <x v="6"/>
    <n v="3.5"/>
    <x v="1"/>
    <x v="304"/>
  </r>
  <r>
    <x v="328"/>
    <x v="101"/>
    <x v="0"/>
    <x v="2"/>
    <x v="4"/>
    <x v="2"/>
    <n v="4"/>
    <x v="1"/>
    <x v="305"/>
  </r>
  <r>
    <x v="329"/>
    <x v="137"/>
    <x v="18"/>
    <x v="0"/>
    <x v="4"/>
    <x v="6"/>
    <n v="3.44"/>
    <x v="1"/>
    <x v="306"/>
  </r>
  <r>
    <x v="330"/>
    <x v="179"/>
    <x v="50"/>
    <x v="0"/>
    <x v="4"/>
    <x v="8"/>
    <n v="5.26"/>
    <x v="1"/>
    <x v="307"/>
  </r>
  <r>
    <x v="331"/>
    <x v="76"/>
    <x v="35"/>
    <x v="2"/>
    <x v="4"/>
    <x v="1"/>
    <n v="4.51"/>
    <x v="0"/>
    <x v="308"/>
  </r>
  <r>
    <x v="332"/>
    <x v="1"/>
    <x v="67"/>
    <x v="0"/>
    <x v="4"/>
    <x v="5"/>
    <n v="4.8099999999999996"/>
    <x v="1"/>
    <x v="309"/>
  </r>
  <r>
    <x v="333"/>
    <x v="201"/>
    <x v="20"/>
    <x v="4"/>
    <x v="2"/>
    <x v="8"/>
    <n v="3.38"/>
    <x v="1"/>
    <x v="310"/>
  </r>
  <r>
    <x v="334"/>
    <x v="202"/>
    <x v="64"/>
    <x v="5"/>
    <x v="3"/>
    <x v="1"/>
    <n v="3.27"/>
    <x v="1"/>
    <x v="311"/>
  </r>
  <r>
    <x v="335"/>
    <x v="203"/>
    <x v="29"/>
    <x v="0"/>
    <x v="0"/>
    <x v="3"/>
    <n v="4.21"/>
    <x v="2"/>
    <x v="312"/>
  </r>
  <r>
    <x v="336"/>
    <x v="101"/>
    <x v="52"/>
    <x v="3"/>
    <x v="3"/>
    <x v="1"/>
    <n v="5.08"/>
    <x v="1"/>
    <x v="235"/>
  </r>
  <r>
    <x v="337"/>
    <x v="29"/>
    <x v="55"/>
    <x v="0"/>
    <x v="4"/>
    <x v="3"/>
    <n v="4.34"/>
    <x v="1"/>
    <x v="313"/>
  </r>
  <r>
    <x v="338"/>
    <x v="136"/>
    <x v="70"/>
    <x v="1"/>
    <x v="2"/>
    <x v="7"/>
    <n v="2.61"/>
    <x v="1"/>
    <x v="314"/>
  </r>
  <r>
    <x v="339"/>
    <x v="62"/>
    <x v="27"/>
    <x v="4"/>
    <x v="1"/>
    <x v="2"/>
    <n v="5.54"/>
    <x v="1"/>
    <x v="315"/>
  </r>
  <r>
    <x v="340"/>
    <x v="24"/>
    <x v="40"/>
    <x v="1"/>
    <x v="2"/>
    <x v="4"/>
    <n v="2.73"/>
    <x v="0"/>
    <x v="316"/>
  </r>
  <r>
    <x v="341"/>
    <x v="21"/>
    <x v="12"/>
    <x v="1"/>
    <x v="4"/>
    <x v="1"/>
    <n v="5.85"/>
    <x v="1"/>
    <x v="317"/>
  </r>
  <r>
    <x v="342"/>
    <x v="204"/>
    <x v="48"/>
    <x v="3"/>
    <x v="2"/>
    <x v="0"/>
    <n v="2.59"/>
    <x v="1"/>
    <x v="318"/>
  </r>
  <r>
    <x v="343"/>
    <x v="205"/>
    <x v="47"/>
    <x v="4"/>
    <x v="2"/>
    <x v="8"/>
    <n v="4.93"/>
    <x v="1"/>
    <x v="319"/>
  </r>
  <r>
    <x v="344"/>
    <x v="132"/>
    <x v="34"/>
    <x v="4"/>
    <x v="4"/>
    <x v="6"/>
    <n v="2.79"/>
    <x v="1"/>
    <x v="320"/>
  </r>
  <r>
    <x v="345"/>
    <x v="206"/>
    <x v="13"/>
    <x v="4"/>
    <x v="2"/>
    <x v="4"/>
    <n v="5.69"/>
    <x v="0"/>
    <x v="321"/>
  </r>
  <r>
    <x v="346"/>
    <x v="207"/>
    <x v="45"/>
    <x v="4"/>
    <x v="0"/>
    <x v="6"/>
    <n v="4.13"/>
    <x v="0"/>
    <x v="322"/>
  </r>
  <r>
    <x v="347"/>
    <x v="208"/>
    <x v="34"/>
    <x v="4"/>
    <x v="0"/>
    <x v="7"/>
    <n v="2.98"/>
    <x v="0"/>
    <x v="11"/>
  </r>
  <r>
    <x v="348"/>
    <x v="58"/>
    <x v="15"/>
    <x v="3"/>
    <x v="2"/>
    <x v="4"/>
    <n v="3.69"/>
    <x v="0"/>
    <x v="323"/>
  </r>
  <r>
    <x v="349"/>
    <x v="209"/>
    <x v="45"/>
    <x v="0"/>
    <x v="1"/>
    <x v="4"/>
    <n v="3.08"/>
    <x v="0"/>
    <x v="127"/>
  </r>
  <r>
    <x v="350"/>
    <x v="205"/>
    <x v="78"/>
    <x v="1"/>
    <x v="4"/>
    <x v="6"/>
    <n v="3.1"/>
    <x v="0"/>
    <x v="324"/>
  </r>
  <r>
    <x v="351"/>
    <x v="12"/>
    <x v="25"/>
    <x v="4"/>
    <x v="0"/>
    <x v="3"/>
    <n v="5.82"/>
    <x v="0"/>
    <x v="325"/>
  </r>
  <r>
    <x v="352"/>
    <x v="210"/>
    <x v="10"/>
    <x v="0"/>
    <x v="1"/>
    <x v="6"/>
    <n v="4.0599999999999996"/>
    <x v="0"/>
    <x v="326"/>
  </r>
  <r>
    <x v="353"/>
    <x v="76"/>
    <x v="52"/>
    <x v="0"/>
    <x v="2"/>
    <x v="3"/>
    <n v="5.26"/>
    <x v="0"/>
    <x v="327"/>
  </r>
  <r>
    <x v="354"/>
    <x v="211"/>
    <x v="19"/>
    <x v="1"/>
    <x v="1"/>
    <x v="7"/>
    <n v="4.74"/>
    <x v="0"/>
    <x v="328"/>
  </r>
  <r>
    <x v="355"/>
    <x v="212"/>
    <x v="17"/>
    <x v="3"/>
    <x v="3"/>
    <x v="8"/>
    <n v="4.87"/>
    <x v="0"/>
    <x v="329"/>
  </r>
  <r>
    <x v="356"/>
    <x v="213"/>
    <x v="53"/>
    <x v="2"/>
    <x v="0"/>
    <x v="5"/>
    <n v="2.96"/>
    <x v="0"/>
    <x v="330"/>
  </r>
  <r>
    <x v="357"/>
    <x v="172"/>
    <x v="49"/>
    <x v="2"/>
    <x v="2"/>
    <x v="3"/>
    <n v="3.32"/>
    <x v="0"/>
    <x v="331"/>
  </r>
  <r>
    <x v="358"/>
    <x v="214"/>
    <x v="72"/>
    <x v="0"/>
    <x v="4"/>
    <x v="7"/>
    <n v="5.25"/>
    <x v="0"/>
    <x v="94"/>
  </r>
  <r>
    <x v="359"/>
    <x v="215"/>
    <x v="68"/>
    <x v="5"/>
    <x v="2"/>
    <x v="0"/>
    <n v="5.9"/>
    <x v="0"/>
    <x v="332"/>
  </r>
  <r>
    <x v="360"/>
    <x v="216"/>
    <x v="42"/>
    <x v="5"/>
    <x v="4"/>
    <x v="7"/>
    <n v="3.42"/>
    <x v="0"/>
    <x v="333"/>
  </r>
  <r>
    <x v="361"/>
    <x v="182"/>
    <x v="18"/>
    <x v="1"/>
    <x v="2"/>
    <x v="6"/>
    <n v="3.45"/>
    <x v="1"/>
    <x v="334"/>
  </r>
  <r>
    <x v="362"/>
    <x v="217"/>
    <x v="27"/>
    <x v="2"/>
    <x v="1"/>
    <x v="6"/>
    <n v="4.16"/>
    <x v="0"/>
    <x v="335"/>
  </r>
  <r>
    <x v="363"/>
    <x v="218"/>
    <x v="35"/>
    <x v="0"/>
    <x v="1"/>
    <x v="5"/>
    <n v="5.94"/>
    <x v="1"/>
    <x v="336"/>
  </r>
  <r>
    <x v="364"/>
    <x v="188"/>
    <x v="67"/>
    <x v="3"/>
    <x v="1"/>
    <x v="7"/>
    <n v="3.44"/>
    <x v="0"/>
    <x v="337"/>
  </r>
  <r>
    <x v="365"/>
    <x v="169"/>
    <x v="35"/>
    <x v="2"/>
    <x v="3"/>
    <x v="2"/>
    <n v="3.92"/>
    <x v="0"/>
    <x v="338"/>
  </r>
  <r>
    <x v="366"/>
    <x v="28"/>
    <x v="58"/>
    <x v="0"/>
    <x v="4"/>
    <x v="8"/>
    <n v="5.62"/>
    <x v="1"/>
    <x v="339"/>
  </r>
  <r>
    <x v="367"/>
    <x v="153"/>
    <x v="6"/>
    <x v="0"/>
    <x v="1"/>
    <x v="6"/>
    <n v="2.5099999999999998"/>
    <x v="0"/>
    <x v="340"/>
  </r>
  <r>
    <x v="368"/>
    <x v="219"/>
    <x v="46"/>
    <x v="4"/>
    <x v="3"/>
    <x v="5"/>
    <n v="2.64"/>
    <x v="1"/>
    <x v="182"/>
  </r>
  <r>
    <x v="369"/>
    <x v="220"/>
    <x v="76"/>
    <x v="3"/>
    <x v="4"/>
    <x v="8"/>
    <n v="4.6100000000000003"/>
    <x v="1"/>
    <x v="341"/>
  </r>
  <r>
    <x v="370"/>
    <x v="221"/>
    <x v="24"/>
    <x v="4"/>
    <x v="2"/>
    <x v="7"/>
    <n v="5.68"/>
    <x v="1"/>
    <x v="342"/>
  </r>
  <r>
    <x v="371"/>
    <x v="122"/>
    <x v="58"/>
    <x v="1"/>
    <x v="3"/>
    <x v="7"/>
    <n v="3.34"/>
    <x v="0"/>
    <x v="343"/>
  </r>
  <r>
    <x v="372"/>
    <x v="44"/>
    <x v="58"/>
    <x v="4"/>
    <x v="0"/>
    <x v="4"/>
    <n v="4.1399999999999997"/>
    <x v="0"/>
    <x v="344"/>
  </r>
  <r>
    <x v="373"/>
    <x v="222"/>
    <x v="57"/>
    <x v="4"/>
    <x v="3"/>
    <x v="5"/>
    <n v="4.08"/>
    <x v="0"/>
    <x v="345"/>
  </r>
  <r>
    <x v="374"/>
    <x v="121"/>
    <x v="22"/>
    <x v="2"/>
    <x v="3"/>
    <x v="6"/>
    <n v="4.16"/>
    <x v="1"/>
    <x v="335"/>
  </r>
  <r>
    <x v="375"/>
    <x v="223"/>
    <x v="30"/>
    <x v="5"/>
    <x v="4"/>
    <x v="2"/>
    <n v="4.68"/>
    <x v="1"/>
    <x v="346"/>
  </r>
  <r>
    <x v="376"/>
    <x v="224"/>
    <x v="30"/>
    <x v="0"/>
    <x v="2"/>
    <x v="7"/>
    <n v="4.1399999999999997"/>
    <x v="0"/>
    <x v="347"/>
  </r>
  <r>
    <x v="377"/>
    <x v="225"/>
    <x v="2"/>
    <x v="3"/>
    <x v="0"/>
    <x v="2"/>
    <n v="4.07"/>
    <x v="0"/>
    <x v="348"/>
  </r>
  <r>
    <x v="378"/>
    <x v="226"/>
    <x v="38"/>
    <x v="3"/>
    <x v="1"/>
    <x v="6"/>
    <n v="4.57"/>
    <x v="0"/>
    <x v="349"/>
  </r>
  <r>
    <x v="379"/>
    <x v="118"/>
    <x v="64"/>
    <x v="5"/>
    <x v="3"/>
    <x v="8"/>
    <n v="4.38"/>
    <x v="0"/>
    <x v="350"/>
  </r>
  <r>
    <x v="380"/>
    <x v="51"/>
    <x v="59"/>
    <x v="5"/>
    <x v="4"/>
    <x v="1"/>
    <n v="5.49"/>
    <x v="1"/>
    <x v="100"/>
  </r>
  <r>
    <x v="381"/>
    <x v="227"/>
    <x v="53"/>
    <x v="4"/>
    <x v="4"/>
    <x v="8"/>
    <n v="2.67"/>
    <x v="1"/>
    <x v="351"/>
  </r>
  <r>
    <x v="382"/>
    <x v="228"/>
    <x v="23"/>
    <x v="1"/>
    <x v="1"/>
    <x v="7"/>
    <n v="5.42"/>
    <x v="1"/>
    <x v="352"/>
  </r>
  <r>
    <x v="383"/>
    <x v="212"/>
    <x v="2"/>
    <x v="4"/>
    <x v="0"/>
    <x v="1"/>
    <n v="5.45"/>
    <x v="0"/>
    <x v="302"/>
  </r>
  <r>
    <x v="384"/>
    <x v="8"/>
    <x v="68"/>
    <x v="6"/>
    <x v="2"/>
    <x v="1"/>
    <n v="3.5"/>
    <x v="1"/>
    <x v="353"/>
  </r>
  <r>
    <x v="385"/>
    <x v="213"/>
    <x v="73"/>
    <x v="0"/>
    <x v="0"/>
    <x v="2"/>
    <n v="4.12"/>
    <x v="1"/>
    <x v="354"/>
  </r>
  <r>
    <x v="386"/>
    <x v="32"/>
    <x v="22"/>
    <x v="1"/>
    <x v="2"/>
    <x v="5"/>
    <n v="4.03"/>
    <x v="1"/>
    <x v="355"/>
  </r>
  <r>
    <x v="387"/>
    <x v="183"/>
    <x v="57"/>
    <x v="4"/>
    <x v="1"/>
    <x v="2"/>
    <n v="3.26"/>
    <x v="1"/>
    <x v="356"/>
  </r>
  <r>
    <x v="388"/>
    <x v="229"/>
    <x v="75"/>
    <x v="3"/>
    <x v="2"/>
    <x v="2"/>
    <n v="3.89"/>
    <x v="1"/>
    <x v="357"/>
  </r>
  <r>
    <x v="389"/>
    <x v="86"/>
    <x v="68"/>
    <x v="1"/>
    <x v="4"/>
    <x v="8"/>
    <n v="2.66"/>
    <x v="0"/>
    <x v="358"/>
  </r>
  <r>
    <x v="390"/>
    <x v="30"/>
    <x v="8"/>
    <x v="1"/>
    <x v="3"/>
    <x v="8"/>
    <n v="3.47"/>
    <x v="1"/>
    <x v="359"/>
  </r>
  <r>
    <x v="391"/>
    <x v="230"/>
    <x v="30"/>
    <x v="4"/>
    <x v="3"/>
    <x v="0"/>
    <n v="5.36"/>
    <x v="0"/>
    <x v="360"/>
  </r>
  <r>
    <x v="392"/>
    <x v="14"/>
    <x v="47"/>
    <x v="1"/>
    <x v="1"/>
    <x v="7"/>
    <n v="3.5"/>
    <x v="0"/>
    <x v="361"/>
  </r>
  <r>
    <x v="393"/>
    <x v="22"/>
    <x v="73"/>
    <x v="3"/>
    <x v="4"/>
    <x v="0"/>
    <n v="5.36"/>
    <x v="0"/>
    <x v="360"/>
  </r>
  <r>
    <x v="394"/>
    <x v="209"/>
    <x v="75"/>
    <x v="5"/>
    <x v="0"/>
    <x v="6"/>
    <n v="4.3600000000000003"/>
    <x v="0"/>
    <x v="362"/>
  </r>
  <r>
    <x v="395"/>
    <x v="213"/>
    <x v="22"/>
    <x v="1"/>
    <x v="4"/>
    <x v="7"/>
    <n v="5.58"/>
    <x v="0"/>
    <x v="363"/>
  </r>
  <r>
    <x v="396"/>
    <x v="231"/>
    <x v="17"/>
    <x v="5"/>
    <x v="3"/>
    <x v="7"/>
    <n v="4.51"/>
    <x v="1"/>
    <x v="364"/>
  </r>
  <r>
    <x v="397"/>
    <x v="145"/>
    <x v="18"/>
    <x v="3"/>
    <x v="3"/>
    <x v="4"/>
    <n v="2.6"/>
    <x v="1"/>
    <x v="317"/>
  </r>
  <r>
    <x v="398"/>
    <x v="28"/>
    <x v="8"/>
    <x v="4"/>
    <x v="4"/>
    <x v="4"/>
    <n v="4.8600000000000003"/>
    <x v="0"/>
    <x v="365"/>
  </r>
  <r>
    <x v="399"/>
    <x v="164"/>
    <x v="56"/>
    <x v="0"/>
    <x v="4"/>
    <x v="3"/>
    <n v="2.66"/>
    <x v="0"/>
    <x v="288"/>
  </r>
  <r>
    <x v="400"/>
    <x v="2"/>
    <x v="13"/>
    <x v="1"/>
    <x v="3"/>
    <x v="3"/>
    <n v="4.08"/>
    <x v="0"/>
    <x v="366"/>
  </r>
  <r>
    <x v="401"/>
    <x v="58"/>
    <x v="51"/>
    <x v="0"/>
    <x v="0"/>
    <x v="2"/>
    <n v="5.75"/>
    <x v="1"/>
    <x v="367"/>
  </r>
  <r>
    <x v="402"/>
    <x v="105"/>
    <x v="58"/>
    <x v="3"/>
    <x v="1"/>
    <x v="6"/>
    <n v="3.08"/>
    <x v="0"/>
    <x v="15"/>
  </r>
  <r>
    <x v="403"/>
    <x v="52"/>
    <x v="18"/>
    <x v="1"/>
    <x v="1"/>
    <x v="1"/>
    <n v="3.86"/>
    <x v="1"/>
    <x v="368"/>
  </r>
  <r>
    <x v="404"/>
    <x v="49"/>
    <x v="78"/>
    <x v="5"/>
    <x v="4"/>
    <x v="1"/>
    <n v="5.05"/>
    <x v="0"/>
    <x v="369"/>
  </r>
  <r>
    <x v="405"/>
    <x v="176"/>
    <x v="36"/>
    <x v="2"/>
    <x v="1"/>
    <x v="4"/>
    <n v="5.59"/>
    <x v="1"/>
    <x v="370"/>
  </r>
  <r>
    <x v="406"/>
    <x v="232"/>
    <x v="61"/>
    <x v="0"/>
    <x v="3"/>
    <x v="4"/>
    <n v="4.8499999999999996"/>
    <x v="0"/>
    <x v="371"/>
  </r>
  <r>
    <x v="407"/>
    <x v="107"/>
    <x v="3"/>
    <x v="1"/>
    <x v="3"/>
    <x v="4"/>
    <n v="3.4"/>
    <x v="1"/>
    <x v="372"/>
  </r>
  <r>
    <x v="408"/>
    <x v="0"/>
    <x v="69"/>
    <x v="0"/>
    <x v="4"/>
    <x v="5"/>
    <n v="4.8600000000000003"/>
    <x v="0"/>
    <x v="373"/>
  </r>
  <r>
    <x v="409"/>
    <x v="233"/>
    <x v="63"/>
    <x v="1"/>
    <x v="4"/>
    <x v="3"/>
    <n v="3.54"/>
    <x v="1"/>
    <x v="374"/>
  </r>
  <r>
    <x v="410"/>
    <x v="234"/>
    <x v="50"/>
    <x v="4"/>
    <x v="4"/>
    <x v="8"/>
    <n v="5.01"/>
    <x v="1"/>
    <x v="375"/>
  </r>
  <r>
    <x v="411"/>
    <x v="192"/>
    <x v="27"/>
    <x v="5"/>
    <x v="0"/>
    <x v="1"/>
    <n v="5.84"/>
    <x v="1"/>
    <x v="376"/>
  </r>
  <r>
    <x v="412"/>
    <x v="235"/>
    <x v="55"/>
    <x v="0"/>
    <x v="1"/>
    <x v="7"/>
    <n v="5.0199999999999996"/>
    <x v="1"/>
    <x v="377"/>
  </r>
  <r>
    <x v="413"/>
    <x v="236"/>
    <x v="31"/>
    <x v="2"/>
    <x v="4"/>
    <x v="3"/>
    <n v="5.52"/>
    <x v="1"/>
    <x v="378"/>
  </r>
  <r>
    <x v="414"/>
    <x v="220"/>
    <x v="74"/>
    <x v="2"/>
    <x v="2"/>
    <x v="0"/>
    <n v="2.5099999999999998"/>
    <x v="1"/>
    <x v="379"/>
  </r>
  <r>
    <x v="415"/>
    <x v="237"/>
    <x v="65"/>
    <x v="3"/>
    <x v="2"/>
    <x v="8"/>
    <n v="5.01"/>
    <x v="1"/>
    <x v="375"/>
  </r>
  <r>
    <x v="416"/>
    <x v="168"/>
    <x v="64"/>
    <x v="1"/>
    <x v="3"/>
    <x v="3"/>
    <n v="5.4"/>
    <x v="0"/>
    <x v="380"/>
  </r>
  <r>
    <x v="417"/>
    <x v="161"/>
    <x v="6"/>
    <x v="0"/>
    <x v="1"/>
    <x v="6"/>
    <n v="2.64"/>
    <x v="0"/>
    <x v="381"/>
  </r>
  <r>
    <x v="418"/>
    <x v="238"/>
    <x v="68"/>
    <x v="3"/>
    <x v="4"/>
    <x v="7"/>
    <n v="5.55"/>
    <x v="0"/>
    <x v="382"/>
  </r>
  <r>
    <x v="419"/>
    <x v="163"/>
    <x v="4"/>
    <x v="0"/>
    <x v="2"/>
    <x v="3"/>
    <n v="3.4"/>
    <x v="0"/>
    <x v="383"/>
  </r>
  <r>
    <x v="420"/>
    <x v="59"/>
    <x v="25"/>
    <x v="1"/>
    <x v="1"/>
    <x v="5"/>
    <n v="4.83"/>
    <x v="0"/>
    <x v="384"/>
  </r>
  <r>
    <x v="421"/>
    <x v="198"/>
    <x v="51"/>
    <x v="2"/>
    <x v="3"/>
    <x v="4"/>
    <n v="5.3"/>
    <x v="1"/>
    <x v="385"/>
  </r>
  <r>
    <x v="422"/>
    <x v="166"/>
    <x v="29"/>
    <x v="4"/>
    <x v="0"/>
    <x v="4"/>
    <n v="4.82"/>
    <x v="1"/>
    <x v="386"/>
  </r>
  <r>
    <x v="423"/>
    <x v="239"/>
    <x v="25"/>
    <x v="2"/>
    <x v="1"/>
    <x v="7"/>
    <n v="2.82"/>
    <x v="1"/>
    <x v="387"/>
  </r>
  <r>
    <x v="424"/>
    <x v="180"/>
    <x v="13"/>
    <x v="3"/>
    <x v="1"/>
    <x v="4"/>
    <n v="4.59"/>
    <x v="1"/>
    <x v="388"/>
  </r>
  <r>
    <x v="425"/>
    <x v="240"/>
    <x v="0"/>
    <x v="5"/>
    <x v="0"/>
    <x v="3"/>
    <n v="4.42"/>
    <x v="1"/>
    <x v="389"/>
  </r>
  <r>
    <x v="426"/>
    <x v="241"/>
    <x v="15"/>
    <x v="4"/>
    <x v="1"/>
    <x v="0"/>
    <n v="5.65"/>
    <x v="0"/>
    <x v="390"/>
  </r>
  <r>
    <x v="427"/>
    <x v="51"/>
    <x v="53"/>
    <x v="3"/>
    <x v="3"/>
    <x v="1"/>
    <n v="3.91"/>
    <x v="0"/>
    <x v="132"/>
  </r>
  <r>
    <x v="428"/>
    <x v="209"/>
    <x v="0"/>
    <x v="1"/>
    <x v="3"/>
    <x v="1"/>
    <n v="3.62"/>
    <x v="0"/>
    <x v="391"/>
  </r>
  <r>
    <x v="429"/>
    <x v="48"/>
    <x v="11"/>
    <x v="4"/>
    <x v="0"/>
    <x v="8"/>
    <n v="5.12"/>
    <x v="0"/>
    <x v="392"/>
  </r>
  <r>
    <x v="430"/>
    <x v="242"/>
    <x v="66"/>
    <x v="3"/>
    <x v="4"/>
    <x v="2"/>
    <n v="3.94"/>
    <x v="1"/>
    <x v="393"/>
  </r>
  <r>
    <x v="431"/>
    <x v="141"/>
    <x v="34"/>
    <x v="2"/>
    <x v="4"/>
    <x v="7"/>
    <n v="4.76"/>
    <x v="1"/>
    <x v="277"/>
  </r>
  <r>
    <x v="432"/>
    <x v="243"/>
    <x v="38"/>
    <x v="5"/>
    <x v="1"/>
    <x v="8"/>
    <n v="5.61"/>
    <x v="0"/>
    <x v="394"/>
  </r>
  <r>
    <x v="433"/>
    <x v="214"/>
    <x v="22"/>
    <x v="1"/>
    <x v="2"/>
    <x v="2"/>
    <n v="4.5999999999999996"/>
    <x v="1"/>
    <x v="292"/>
  </r>
  <r>
    <x v="434"/>
    <x v="170"/>
    <x v="70"/>
    <x v="0"/>
    <x v="0"/>
    <x v="5"/>
    <n v="4.26"/>
    <x v="0"/>
    <x v="395"/>
  </r>
  <r>
    <x v="435"/>
    <x v="209"/>
    <x v="2"/>
    <x v="1"/>
    <x v="0"/>
    <x v="5"/>
    <n v="2.99"/>
    <x v="1"/>
    <x v="396"/>
  </r>
  <r>
    <x v="436"/>
    <x v="7"/>
    <x v="55"/>
    <x v="1"/>
    <x v="2"/>
    <x v="6"/>
    <n v="2.91"/>
    <x v="1"/>
    <x v="397"/>
  </r>
  <r>
    <x v="437"/>
    <x v="244"/>
    <x v="5"/>
    <x v="5"/>
    <x v="3"/>
    <x v="4"/>
    <n v="3.04"/>
    <x v="0"/>
    <x v="333"/>
  </r>
  <r>
    <x v="438"/>
    <x v="245"/>
    <x v="28"/>
    <x v="0"/>
    <x v="2"/>
    <x v="3"/>
    <n v="3.1"/>
    <x v="1"/>
    <x v="398"/>
  </r>
  <r>
    <x v="439"/>
    <x v="246"/>
    <x v="44"/>
    <x v="3"/>
    <x v="1"/>
    <x v="8"/>
    <n v="4.7300000000000004"/>
    <x v="1"/>
    <x v="399"/>
  </r>
  <r>
    <x v="440"/>
    <x v="116"/>
    <x v="30"/>
    <x v="3"/>
    <x v="3"/>
    <x v="8"/>
    <n v="5.09"/>
    <x v="0"/>
    <x v="55"/>
  </r>
  <r>
    <x v="441"/>
    <x v="152"/>
    <x v="71"/>
    <x v="1"/>
    <x v="0"/>
    <x v="7"/>
    <n v="4.3499999999999996"/>
    <x v="1"/>
    <x v="400"/>
  </r>
  <r>
    <x v="442"/>
    <x v="247"/>
    <x v="4"/>
    <x v="0"/>
    <x v="2"/>
    <x v="7"/>
    <n v="5.4"/>
    <x v="0"/>
    <x v="401"/>
  </r>
  <r>
    <x v="443"/>
    <x v="97"/>
    <x v="41"/>
    <x v="0"/>
    <x v="4"/>
    <x v="5"/>
    <n v="5.97"/>
    <x v="1"/>
    <x v="402"/>
  </r>
  <r>
    <x v="444"/>
    <x v="43"/>
    <x v="22"/>
    <x v="5"/>
    <x v="4"/>
    <x v="5"/>
    <n v="5.37"/>
    <x v="1"/>
    <x v="403"/>
  </r>
  <r>
    <x v="445"/>
    <x v="74"/>
    <x v="38"/>
    <x v="2"/>
    <x v="1"/>
    <x v="0"/>
    <n v="4.93"/>
    <x v="1"/>
    <x v="32"/>
  </r>
  <r>
    <x v="446"/>
    <x v="248"/>
    <x v="19"/>
    <x v="3"/>
    <x v="4"/>
    <x v="0"/>
    <n v="4.3600000000000003"/>
    <x v="1"/>
    <x v="404"/>
  </r>
  <r>
    <x v="447"/>
    <x v="5"/>
    <x v="37"/>
    <x v="5"/>
    <x v="2"/>
    <x v="4"/>
    <n v="4.07"/>
    <x v="1"/>
    <x v="405"/>
  </r>
  <r>
    <x v="448"/>
    <x v="19"/>
    <x v="5"/>
    <x v="4"/>
    <x v="2"/>
    <x v="0"/>
    <n v="2.8"/>
    <x v="1"/>
    <x v="406"/>
  </r>
  <r>
    <x v="449"/>
    <x v="249"/>
    <x v="53"/>
    <x v="5"/>
    <x v="2"/>
    <x v="3"/>
    <n v="5.69"/>
    <x v="1"/>
    <x v="407"/>
  </r>
  <r>
    <x v="450"/>
    <x v="1"/>
    <x v="27"/>
    <x v="3"/>
    <x v="1"/>
    <x v="8"/>
    <n v="5.33"/>
    <x v="0"/>
    <x v="408"/>
  </r>
  <r>
    <x v="451"/>
    <x v="153"/>
    <x v="76"/>
    <x v="2"/>
    <x v="3"/>
    <x v="1"/>
    <n v="3.26"/>
    <x v="0"/>
    <x v="409"/>
  </r>
  <r>
    <x v="452"/>
    <x v="250"/>
    <x v="71"/>
    <x v="4"/>
    <x v="1"/>
    <x v="3"/>
    <n v="4.13"/>
    <x v="1"/>
    <x v="410"/>
  </r>
  <r>
    <x v="453"/>
    <x v="251"/>
    <x v="27"/>
    <x v="2"/>
    <x v="1"/>
    <x v="2"/>
    <n v="5.36"/>
    <x v="1"/>
    <x v="73"/>
  </r>
  <r>
    <x v="454"/>
    <x v="161"/>
    <x v="62"/>
    <x v="4"/>
    <x v="2"/>
    <x v="5"/>
    <n v="2.74"/>
    <x v="0"/>
    <x v="411"/>
  </r>
  <r>
    <x v="455"/>
    <x v="126"/>
    <x v="74"/>
    <x v="1"/>
    <x v="3"/>
    <x v="7"/>
    <n v="3.86"/>
    <x v="1"/>
    <x v="412"/>
  </r>
  <r>
    <x v="456"/>
    <x v="252"/>
    <x v="50"/>
    <x v="5"/>
    <x v="2"/>
    <x v="0"/>
    <n v="5.48"/>
    <x v="1"/>
    <x v="413"/>
  </r>
  <r>
    <x v="457"/>
    <x v="253"/>
    <x v="71"/>
    <x v="4"/>
    <x v="0"/>
    <x v="8"/>
    <n v="3.91"/>
    <x v="0"/>
    <x v="414"/>
  </r>
  <r>
    <x v="458"/>
    <x v="149"/>
    <x v="33"/>
    <x v="2"/>
    <x v="2"/>
    <x v="6"/>
    <n v="2.77"/>
    <x v="1"/>
    <x v="415"/>
  </r>
  <r>
    <x v="459"/>
    <x v="254"/>
    <x v="5"/>
    <x v="3"/>
    <x v="2"/>
    <x v="7"/>
    <n v="4.4000000000000004"/>
    <x v="2"/>
    <x v="133"/>
  </r>
  <r>
    <x v="460"/>
    <x v="236"/>
    <x v="31"/>
    <x v="4"/>
    <x v="2"/>
    <x v="2"/>
    <n v="5.52"/>
    <x v="0"/>
    <x v="416"/>
  </r>
  <r>
    <x v="461"/>
    <x v="255"/>
    <x v="51"/>
    <x v="5"/>
    <x v="3"/>
    <x v="0"/>
    <n v="4.57"/>
    <x v="1"/>
    <x v="417"/>
  </r>
  <r>
    <x v="462"/>
    <x v="189"/>
    <x v="41"/>
    <x v="4"/>
    <x v="2"/>
    <x v="2"/>
    <n v="3.29"/>
    <x v="1"/>
    <x v="23"/>
  </r>
  <r>
    <x v="463"/>
    <x v="256"/>
    <x v="18"/>
    <x v="0"/>
    <x v="3"/>
    <x v="5"/>
    <n v="3.84"/>
    <x v="0"/>
    <x v="418"/>
  </r>
  <r>
    <x v="464"/>
    <x v="63"/>
    <x v="30"/>
    <x v="3"/>
    <x v="4"/>
    <x v="5"/>
    <n v="4.08"/>
    <x v="1"/>
    <x v="345"/>
  </r>
  <r>
    <x v="465"/>
    <x v="257"/>
    <x v="57"/>
    <x v="5"/>
    <x v="0"/>
    <x v="4"/>
    <n v="4.53"/>
    <x v="0"/>
    <x v="419"/>
  </r>
  <r>
    <x v="466"/>
    <x v="169"/>
    <x v="49"/>
    <x v="5"/>
    <x v="3"/>
    <x v="8"/>
    <n v="5.16"/>
    <x v="1"/>
    <x v="420"/>
  </r>
  <r>
    <x v="467"/>
    <x v="11"/>
    <x v="52"/>
    <x v="1"/>
    <x v="4"/>
    <x v="7"/>
    <n v="2.85"/>
    <x v="1"/>
    <x v="421"/>
  </r>
  <r>
    <x v="468"/>
    <x v="89"/>
    <x v="53"/>
    <x v="2"/>
    <x v="3"/>
    <x v="7"/>
    <n v="5.61"/>
    <x v="0"/>
    <x v="422"/>
  </r>
  <r>
    <x v="469"/>
    <x v="177"/>
    <x v="62"/>
    <x v="1"/>
    <x v="3"/>
    <x v="6"/>
    <n v="2.54"/>
    <x v="0"/>
    <x v="423"/>
  </r>
  <r>
    <x v="470"/>
    <x v="117"/>
    <x v="48"/>
    <x v="5"/>
    <x v="0"/>
    <x v="8"/>
    <n v="3.8"/>
    <x v="2"/>
    <x v="42"/>
  </r>
  <r>
    <x v="471"/>
    <x v="258"/>
    <x v="50"/>
    <x v="3"/>
    <x v="1"/>
    <x v="2"/>
    <n v="2.6"/>
    <x v="0"/>
    <x v="424"/>
  </r>
  <r>
    <x v="472"/>
    <x v="259"/>
    <x v="1"/>
    <x v="4"/>
    <x v="1"/>
    <x v="6"/>
    <n v="3.88"/>
    <x v="0"/>
    <x v="425"/>
  </r>
  <r>
    <x v="473"/>
    <x v="260"/>
    <x v="8"/>
    <x v="4"/>
    <x v="3"/>
    <x v="1"/>
    <n v="4.34"/>
    <x v="1"/>
    <x v="426"/>
  </r>
  <r>
    <x v="474"/>
    <x v="261"/>
    <x v="55"/>
    <x v="3"/>
    <x v="2"/>
    <x v="7"/>
    <n v="4.29"/>
    <x v="1"/>
    <x v="427"/>
  </r>
  <r>
    <x v="475"/>
    <x v="218"/>
    <x v="29"/>
    <x v="5"/>
    <x v="4"/>
    <x v="2"/>
    <n v="3.08"/>
    <x v="1"/>
    <x v="428"/>
  </r>
  <r>
    <x v="476"/>
    <x v="158"/>
    <x v="66"/>
    <x v="4"/>
    <x v="2"/>
    <x v="3"/>
    <n v="4.76"/>
    <x v="0"/>
    <x v="429"/>
  </r>
  <r>
    <x v="477"/>
    <x v="11"/>
    <x v="70"/>
    <x v="4"/>
    <x v="2"/>
    <x v="4"/>
    <n v="2.66"/>
    <x v="0"/>
    <x v="287"/>
  </r>
  <r>
    <x v="478"/>
    <x v="246"/>
    <x v="45"/>
    <x v="4"/>
    <x v="3"/>
    <x v="8"/>
    <n v="5.17"/>
    <x v="0"/>
    <x v="430"/>
  </r>
  <r>
    <x v="479"/>
    <x v="145"/>
    <x v="34"/>
    <x v="2"/>
    <x v="3"/>
    <x v="5"/>
    <n v="5.81"/>
    <x v="0"/>
    <x v="431"/>
  </r>
  <r>
    <x v="480"/>
    <x v="208"/>
    <x v="73"/>
    <x v="2"/>
    <x v="3"/>
    <x v="3"/>
    <n v="3.69"/>
    <x v="1"/>
    <x v="248"/>
  </r>
  <r>
    <x v="481"/>
    <x v="260"/>
    <x v="41"/>
    <x v="0"/>
    <x v="3"/>
    <x v="4"/>
    <n v="4.3099999999999996"/>
    <x v="0"/>
    <x v="432"/>
  </r>
  <r>
    <x v="482"/>
    <x v="166"/>
    <x v="46"/>
    <x v="1"/>
    <x v="1"/>
    <x v="4"/>
    <n v="3.83"/>
    <x v="1"/>
    <x v="433"/>
  </r>
  <r>
    <x v="483"/>
    <x v="116"/>
    <x v="8"/>
    <x v="3"/>
    <x v="3"/>
    <x v="1"/>
    <n v="2.52"/>
    <x v="0"/>
    <x v="434"/>
  </r>
  <r>
    <x v="484"/>
    <x v="106"/>
    <x v="48"/>
    <x v="3"/>
    <x v="1"/>
    <x v="1"/>
    <n v="3.85"/>
    <x v="1"/>
    <x v="435"/>
  </r>
  <r>
    <x v="485"/>
    <x v="158"/>
    <x v="8"/>
    <x v="3"/>
    <x v="1"/>
    <x v="0"/>
    <n v="5.27"/>
    <x v="1"/>
    <x v="436"/>
  </r>
  <r>
    <x v="486"/>
    <x v="196"/>
    <x v="58"/>
    <x v="0"/>
    <x v="3"/>
    <x v="0"/>
    <n v="4.59"/>
    <x v="1"/>
    <x v="188"/>
  </r>
  <r>
    <x v="487"/>
    <x v="262"/>
    <x v="68"/>
    <x v="2"/>
    <x v="0"/>
    <x v="6"/>
    <n v="2.85"/>
    <x v="0"/>
    <x v="437"/>
  </r>
  <r>
    <x v="488"/>
    <x v="76"/>
    <x v="10"/>
    <x v="5"/>
    <x v="4"/>
    <x v="4"/>
    <n v="5.46"/>
    <x v="1"/>
    <x v="97"/>
  </r>
  <r>
    <x v="489"/>
    <x v="263"/>
    <x v="20"/>
    <x v="5"/>
    <x v="2"/>
    <x v="3"/>
    <n v="4.3600000000000003"/>
    <x v="1"/>
    <x v="4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FE7852-8ACE-4A37-9AA1-5779FAB2072E}"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3">
  <location ref="B37:C49" firstHeaderRow="1" firstDataRow="1" firstDataCol="1"/>
  <pivotFields count="11">
    <pivotField compact="0" outline="0" subtotalTop="0" showAll="0" defaultSubtotal="0"/>
    <pivotField compact="0" numFmtId="164" outline="0" subtotalTop="0" showAll="0" defaultSubtotal="0">
      <items count="264">
        <item x="244"/>
        <item x="57"/>
        <item x="196"/>
        <item x="107"/>
        <item x="200"/>
        <item x="84"/>
        <item x="261"/>
        <item x="122"/>
        <item x="45"/>
        <item x="80"/>
        <item x="262"/>
        <item x="197"/>
        <item x="206"/>
        <item x="224"/>
        <item x="6"/>
        <item x="23"/>
        <item x="259"/>
        <item x="219"/>
        <item x="193"/>
        <item x="92"/>
        <item x="120"/>
        <item x="96"/>
        <item x="53"/>
        <item x="121"/>
        <item x="179"/>
        <item x="190"/>
        <item x="169"/>
        <item x="78"/>
        <item x="64"/>
        <item x="129"/>
        <item x="199"/>
        <item x="236"/>
        <item x="97"/>
        <item x="27"/>
        <item x="56"/>
        <item x="32"/>
        <item x="115"/>
        <item x="49"/>
        <item x="58"/>
        <item x="34"/>
        <item x="209"/>
        <item x="176"/>
        <item x="98"/>
        <item x="86"/>
        <item x="82"/>
        <item x="128"/>
        <item x="186"/>
        <item x="254"/>
        <item x="4"/>
        <item x="181"/>
        <item x="250"/>
        <item x="55"/>
        <item x="126"/>
        <item x="10"/>
        <item x="43"/>
        <item x="51"/>
        <item x="255"/>
        <item x="203"/>
        <item x="116"/>
        <item x="162"/>
        <item x="159"/>
        <item x="101"/>
        <item x="11"/>
        <item x="105"/>
        <item x="0"/>
        <item x="182"/>
        <item x="59"/>
        <item x="3"/>
        <item x="232"/>
        <item x="175"/>
        <item x="146"/>
        <item x="211"/>
        <item x="136"/>
        <item x="247"/>
        <item x="180"/>
        <item x="135"/>
        <item x="7"/>
        <item x="157"/>
        <item x="163"/>
        <item x="230"/>
        <item x="152"/>
        <item x="214"/>
        <item x="132"/>
        <item x="170"/>
        <item x="148"/>
        <item x="37"/>
        <item x="130"/>
        <item x="39"/>
        <item x="85"/>
        <item x="140"/>
        <item x="87"/>
        <item x="178"/>
        <item x="226"/>
        <item x="118"/>
        <item x="161"/>
        <item x="239"/>
        <item x="166"/>
        <item x="165"/>
        <item x="14"/>
        <item x="172"/>
        <item x="13"/>
        <item x="183"/>
        <item x="251"/>
        <item x="215"/>
        <item x="79"/>
        <item x="198"/>
        <item x="123"/>
        <item x="21"/>
        <item x="65"/>
        <item x="88"/>
        <item x="142"/>
        <item x="41"/>
        <item x="185"/>
        <item x="28"/>
        <item x="119"/>
        <item x="102"/>
        <item x="223"/>
        <item x="210"/>
        <item x="31"/>
        <item x="188"/>
        <item x="112"/>
        <item x="145"/>
        <item x="202"/>
        <item x="156"/>
        <item x="252"/>
        <item x="229"/>
        <item x="124"/>
        <item x="29"/>
        <item x="5"/>
        <item x="30"/>
        <item x="62"/>
        <item x="19"/>
        <item x="184"/>
        <item x="187"/>
        <item x="233"/>
        <item x="139"/>
        <item x="167"/>
        <item x="93"/>
        <item x="66"/>
        <item x="155"/>
        <item x="256"/>
        <item x="54"/>
        <item x="111"/>
        <item x="73"/>
        <item x="72"/>
        <item x="103"/>
        <item x="8"/>
        <item x="99"/>
        <item x="77"/>
        <item x="63"/>
        <item x="149"/>
        <item x="117"/>
        <item x="208"/>
        <item x="151"/>
        <item x="134"/>
        <item x="194"/>
        <item x="104"/>
        <item x="242"/>
        <item x="191"/>
        <item x="91"/>
        <item x="137"/>
        <item x="143"/>
        <item x="25"/>
        <item x="74"/>
        <item x="189"/>
        <item x="245"/>
        <item x="160"/>
        <item x="114"/>
        <item x="46"/>
        <item x="125"/>
        <item x="35"/>
        <item x="218"/>
        <item x="153"/>
        <item x="260"/>
        <item x="70"/>
        <item x="24"/>
        <item x="177"/>
        <item x="108"/>
        <item x="204"/>
        <item x="106"/>
        <item x="16"/>
        <item x="138"/>
        <item x="60"/>
        <item x="90"/>
        <item x="234"/>
        <item x="174"/>
        <item x="52"/>
        <item x="47"/>
        <item x="171"/>
        <item x="95"/>
        <item x="238"/>
        <item x="67"/>
        <item x="2"/>
        <item x="248"/>
        <item x="216"/>
        <item x="42"/>
        <item x="241"/>
        <item x="20"/>
        <item x="249"/>
        <item x="243"/>
        <item x="76"/>
        <item x="207"/>
        <item x="110"/>
        <item x="127"/>
        <item x="253"/>
        <item x="131"/>
        <item x="212"/>
        <item x="89"/>
        <item x="246"/>
        <item x="100"/>
        <item x="18"/>
        <item x="147"/>
        <item x="71"/>
        <item x="173"/>
        <item x="217"/>
        <item x="81"/>
        <item x="201"/>
        <item x="69"/>
        <item x="231"/>
        <item x="221"/>
        <item x="38"/>
        <item x="168"/>
        <item x="15"/>
        <item x="61"/>
        <item x="237"/>
        <item x="222"/>
        <item x="22"/>
        <item x="144"/>
        <item x="44"/>
        <item x="195"/>
        <item x="141"/>
        <item x="240"/>
        <item x="36"/>
        <item x="225"/>
        <item x="228"/>
        <item x="205"/>
        <item x="154"/>
        <item x="158"/>
        <item x="164"/>
        <item x="83"/>
        <item x="94"/>
        <item x="40"/>
        <item x="9"/>
        <item x="263"/>
        <item x="75"/>
        <item x="50"/>
        <item x="257"/>
        <item x="213"/>
        <item x="150"/>
        <item x="17"/>
        <item x="26"/>
        <item x="48"/>
        <item x="133"/>
        <item x="1"/>
        <item x="235"/>
        <item x="68"/>
        <item x="113"/>
        <item x="227"/>
        <item x="220"/>
        <item x="258"/>
        <item x="109"/>
        <item x="12"/>
        <item x="33"/>
        <item x="192"/>
      </items>
    </pivotField>
    <pivotField compact="0" outline="0" subtotalTop="0" showAll="0" measureFilter="1" sortType="descending" defaultSubtotal="0">
      <items count="79">
        <item x="63"/>
        <item x="25"/>
        <item x="74"/>
        <item x="3"/>
        <item x="15"/>
        <item x="50"/>
        <item x="70"/>
        <item x="43"/>
        <item x="34"/>
        <item x="52"/>
        <item x="36"/>
        <item x="0"/>
        <item x="61"/>
        <item x="24"/>
        <item x="76"/>
        <item x="29"/>
        <item x="2"/>
        <item x="45"/>
        <item x="18"/>
        <item x="54"/>
        <item x="40"/>
        <item x="14"/>
        <item x="64"/>
        <item x="33"/>
        <item x="59"/>
        <item x="1"/>
        <item x="6"/>
        <item x="19"/>
        <item x="5"/>
        <item x="23"/>
        <item x="31"/>
        <item x="55"/>
        <item x="48"/>
        <item x="57"/>
        <item x="53"/>
        <item x="72"/>
        <item x="49"/>
        <item x="9"/>
        <item x="13"/>
        <item x="56"/>
        <item x="16"/>
        <item x="69"/>
        <item x="77"/>
        <item x="28"/>
        <item x="51"/>
        <item x="4"/>
        <item x="8"/>
        <item x="42"/>
        <item x="46"/>
        <item x="60"/>
        <item x="32"/>
        <item x="67"/>
        <item x="47"/>
        <item x="21"/>
        <item x="35"/>
        <item x="68"/>
        <item x="71"/>
        <item x="7"/>
        <item x="30"/>
        <item x="66"/>
        <item x="27"/>
        <item x="11"/>
        <item x="73"/>
        <item x="10"/>
        <item x="78"/>
        <item x="44"/>
        <item x="20"/>
        <item x="58"/>
        <item x="39"/>
        <item x="62"/>
        <item x="26"/>
        <item x="12"/>
        <item x="22"/>
        <item x="37"/>
        <item x="65"/>
        <item x="41"/>
        <item x="75"/>
        <item x="17"/>
        <item x="38"/>
      </items>
      <autoSortScope>
        <pivotArea dataOnly="0" outline="0" fieldPosition="0">
          <references count="1">
            <reference field="4294967294" count="1" selected="0">
              <x v="0"/>
            </reference>
          </references>
        </pivotArea>
      </autoSortScope>
    </pivotField>
    <pivotField compact="0" outline="0" subtotalTop="0" showAll="0" sortType="descending" defaultSubtotal="0">
      <items count="7">
        <item x="5"/>
        <item x="0"/>
        <item x="3"/>
        <item x="2"/>
        <item x="6"/>
        <item x="1"/>
        <item x="4"/>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3">
        <item x="1"/>
        <item x="2"/>
        <item x="0"/>
      </items>
    </pivotField>
    <pivotField dataField="1" compact="0" outline="0" subtotalTop="0" showAll="0" defaultSubtotal="0"/>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compact="0" outline="0" subtotalTop="0" showAll="0" sortType="descending" defaultSubtotal="0">
      <items count="14">
        <item sd="0" x="0"/>
        <item sd="0" x="1"/>
        <item sd="0" x="2"/>
        <item sd="0" x="3"/>
        <item sd="0" x="4"/>
        <item sd="0" x="5"/>
        <item sd="0" x="6"/>
        <item sd="0" x="7"/>
        <item sd="0" x="8"/>
        <item sd="0" x="9"/>
        <item sd="0" x="10"/>
        <item sd="0" x="11"/>
        <item sd="0" x="12"/>
        <item sd="0" x="13"/>
      </items>
      <autoSortScope>
        <pivotArea dataOnly="0" outline="0" fieldPosition="0">
          <references count="1">
            <reference field="4294967294" count="1" selected="0">
              <x v="0"/>
            </reference>
          </references>
        </pivotArea>
      </autoSortScope>
    </pivotField>
  </pivotFields>
  <rowFields count="1">
    <field x="10"/>
  </rowFields>
  <rowItems count="12">
    <i>
      <x v="4"/>
    </i>
    <i>
      <x v="6"/>
    </i>
    <i>
      <x v="9"/>
    </i>
    <i>
      <x v="10"/>
    </i>
    <i>
      <x v="12"/>
    </i>
    <i>
      <x v="5"/>
    </i>
    <i>
      <x v="2"/>
    </i>
    <i>
      <x v="8"/>
    </i>
    <i>
      <x v="11"/>
    </i>
    <i>
      <x v="7"/>
    </i>
    <i>
      <x v="1"/>
    </i>
    <i>
      <x v="3"/>
    </i>
  </rowItems>
  <colItems count="1">
    <i/>
  </colItems>
  <dataFields count="1">
    <dataField name="Sum of Total_Sales" fld="8" baseField="0" baseItem="0" numFmtId="167"/>
  </dataFields>
  <formats count="1">
    <format dxfId="1">
      <pivotArea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F374B1-C28E-4594-BD65-76301B4A1EC4}" name="PivotTable6"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6">
  <location ref="F88:G92" firstHeaderRow="1" firstDataRow="1" firstDataCol="1"/>
  <pivotFields count="11">
    <pivotField multipleItemSelectionAllowed="1" showAll="0">
      <items count="4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t="default"/>
      </items>
    </pivotField>
    <pivotField numFmtId="164" showAll="0">
      <items count="265">
        <item x="244"/>
        <item x="57"/>
        <item x="196"/>
        <item x="107"/>
        <item x="200"/>
        <item x="84"/>
        <item x="261"/>
        <item x="122"/>
        <item x="45"/>
        <item x="80"/>
        <item x="262"/>
        <item x="197"/>
        <item x="206"/>
        <item x="224"/>
        <item x="6"/>
        <item x="23"/>
        <item x="259"/>
        <item x="219"/>
        <item x="193"/>
        <item x="92"/>
        <item x="120"/>
        <item x="96"/>
        <item x="53"/>
        <item x="121"/>
        <item x="179"/>
        <item x="190"/>
        <item x="169"/>
        <item x="78"/>
        <item x="64"/>
        <item x="129"/>
        <item x="199"/>
        <item x="236"/>
        <item x="97"/>
        <item x="27"/>
        <item x="56"/>
        <item x="32"/>
        <item x="115"/>
        <item x="49"/>
        <item x="58"/>
        <item x="34"/>
        <item x="209"/>
        <item x="176"/>
        <item x="98"/>
        <item x="86"/>
        <item x="82"/>
        <item x="128"/>
        <item x="186"/>
        <item x="254"/>
        <item x="4"/>
        <item x="181"/>
        <item x="250"/>
        <item x="55"/>
        <item x="126"/>
        <item x="10"/>
        <item x="43"/>
        <item x="51"/>
        <item x="255"/>
        <item x="203"/>
        <item x="116"/>
        <item x="162"/>
        <item x="159"/>
        <item x="101"/>
        <item x="11"/>
        <item x="105"/>
        <item x="0"/>
        <item x="182"/>
        <item x="59"/>
        <item x="3"/>
        <item x="232"/>
        <item x="175"/>
        <item x="146"/>
        <item x="211"/>
        <item x="136"/>
        <item x="247"/>
        <item x="180"/>
        <item x="135"/>
        <item x="7"/>
        <item x="157"/>
        <item x="163"/>
        <item x="230"/>
        <item x="152"/>
        <item x="214"/>
        <item x="132"/>
        <item x="170"/>
        <item x="148"/>
        <item x="37"/>
        <item x="130"/>
        <item x="39"/>
        <item x="85"/>
        <item x="140"/>
        <item x="87"/>
        <item x="178"/>
        <item x="226"/>
        <item x="118"/>
        <item x="161"/>
        <item x="239"/>
        <item x="166"/>
        <item x="165"/>
        <item x="14"/>
        <item x="172"/>
        <item x="13"/>
        <item x="183"/>
        <item x="251"/>
        <item x="215"/>
        <item x="79"/>
        <item x="198"/>
        <item x="123"/>
        <item x="21"/>
        <item x="65"/>
        <item x="88"/>
        <item x="142"/>
        <item x="41"/>
        <item x="185"/>
        <item x="28"/>
        <item x="119"/>
        <item x="102"/>
        <item x="223"/>
        <item x="210"/>
        <item x="31"/>
        <item x="188"/>
        <item x="112"/>
        <item x="145"/>
        <item x="202"/>
        <item x="156"/>
        <item x="252"/>
        <item x="229"/>
        <item x="124"/>
        <item x="29"/>
        <item x="5"/>
        <item x="30"/>
        <item x="62"/>
        <item x="19"/>
        <item x="184"/>
        <item x="187"/>
        <item x="233"/>
        <item x="139"/>
        <item x="167"/>
        <item x="93"/>
        <item x="66"/>
        <item x="155"/>
        <item x="256"/>
        <item x="54"/>
        <item x="111"/>
        <item x="73"/>
        <item x="72"/>
        <item x="103"/>
        <item x="8"/>
        <item x="99"/>
        <item x="77"/>
        <item x="63"/>
        <item x="149"/>
        <item x="117"/>
        <item x="208"/>
        <item x="151"/>
        <item x="134"/>
        <item x="194"/>
        <item x="104"/>
        <item x="242"/>
        <item x="191"/>
        <item x="91"/>
        <item x="137"/>
        <item x="143"/>
        <item x="25"/>
        <item x="74"/>
        <item x="189"/>
        <item x="245"/>
        <item x="160"/>
        <item x="114"/>
        <item x="46"/>
        <item x="125"/>
        <item x="35"/>
        <item x="218"/>
        <item x="153"/>
        <item x="260"/>
        <item x="70"/>
        <item x="24"/>
        <item x="177"/>
        <item x="108"/>
        <item x="204"/>
        <item x="106"/>
        <item x="16"/>
        <item x="138"/>
        <item x="60"/>
        <item x="90"/>
        <item x="234"/>
        <item x="174"/>
        <item x="52"/>
        <item x="47"/>
        <item x="171"/>
        <item x="95"/>
        <item x="238"/>
        <item x="67"/>
        <item x="2"/>
        <item x="248"/>
        <item x="216"/>
        <item x="42"/>
        <item x="241"/>
        <item x="20"/>
        <item x="249"/>
        <item x="243"/>
        <item x="76"/>
        <item x="207"/>
        <item x="110"/>
        <item x="127"/>
        <item x="253"/>
        <item x="131"/>
        <item x="212"/>
        <item x="89"/>
        <item x="246"/>
        <item x="100"/>
        <item x="18"/>
        <item x="147"/>
        <item x="71"/>
        <item x="173"/>
        <item x="217"/>
        <item x="81"/>
        <item x="201"/>
        <item x="69"/>
        <item x="231"/>
        <item x="221"/>
        <item x="38"/>
        <item x="168"/>
        <item x="15"/>
        <item x="61"/>
        <item x="237"/>
        <item x="222"/>
        <item x="22"/>
        <item x="144"/>
        <item x="44"/>
        <item x="195"/>
        <item x="141"/>
        <item x="240"/>
        <item x="36"/>
        <item x="225"/>
        <item x="228"/>
        <item x="205"/>
        <item x="154"/>
        <item x="158"/>
        <item x="164"/>
        <item x="83"/>
        <item x="94"/>
        <item x="40"/>
        <item x="9"/>
        <item x="263"/>
        <item x="75"/>
        <item x="50"/>
        <item x="257"/>
        <item x="213"/>
        <item x="150"/>
        <item x="17"/>
        <item x="26"/>
        <item x="48"/>
        <item x="133"/>
        <item x="1"/>
        <item x="235"/>
        <item x="68"/>
        <item x="113"/>
        <item x="227"/>
        <item x="220"/>
        <item x="258"/>
        <item x="109"/>
        <item x="12"/>
        <item x="33"/>
        <item x="192"/>
        <item t="default"/>
      </items>
    </pivotField>
    <pivotField showAll="0">
      <items count="80">
        <item x="63"/>
        <item x="25"/>
        <item x="74"/>
        <item x="3"/>
        <item x="15"/>
        <item x="50"/>
        <item x="70"/>
        <item x="43"/>
        <item x="34"/>
        <item x="52"/>
        <item x="36"/>
        <item x="0"/>
        <item x="61"/>
        <item x="24"/>
        <item x="76"/>
        <item x="29"/>
        <item x="2"/>
        <item x="45"/>
        <item x="18"/>
        <item x="54"/>
        <item x="40"/>
        <item x="14"/>
        <item x="64"/>
        <item x="33"/>
        <item x="59"/>
        <item x="1"/>
        <item x="6"/>
        <item x="19"/>
        <item x="5"/>
        <item x="23"/>
        <item x="31"/>
        <item x="55"/>
        <item x="48"/>
        <item x="57"/>
        <item x="53"/>
        <item x="72"/>
        <item x="49"/>
        <item x="9"/>
        <item x="13"/>
        <item x="56"/>
        <item x="16"/>
        <item x="69"/>
        <item x="77"/>
        <item x="28"/>
        <item x="51"/>
        <item x="4"/>
        <item x="8"/>
        <item x="42"/>
        <item x="46"/>
        <item x="60"/>
        <item x="32"/>
        <item x="67"/>
        <item x="47"/>
        <item x="21"/>
        <item x="35"/>
        <item x="68"/>
        <item x="71"/>
        <item x="7"/>
        <item x="30"/>
        <item x="66"/>
        <item x="27"/>
        <item x="11"/>
        <item x="73"/>
        <item x="10"/>
        <item x="78"/>
        <item x="44"/>
        <item x="20"/>
        <item x="58"/>
        <item x="39"/>
        <item x="62"/>
        <item x="26"/>
        <item x="12"/>
        <item x="22"/>
        <item x="37"/>
        <item x="65"/>
        <item x="41"/>
        <item x="75"/>
        <item x="17"/>
        <item x="38"/>
        <item t="default"/>
      </items>
    </pivotField>
    <pivotField showAll="0" sortType="descending">
      <items count="8">
        <item h="1" x="5"/>
        <item h="1" x="0"/>
        <item x="3"/>
        <item h="1" x="2"/>
        <item h="1" x="6"/>
        <item h="1" x="1"/>
        <item h="1" x="4"/>
        <item t="default"/>
      </items>
      <autoSortScope>
        <pivotArea dataOnly="0" outline="0" fieldPosition="0">
          <references count="1">
            <reference field="4294967294" count="1" selected="0">
              <x v="0"/>
            </reference>
          </references>
        </pivotArea>
      </autoSortScope>
    </pivotField>
    <pivotField showAll="0"/>
    <pivotField showAll="0">
      <items count="10">
        <item x="6"/>
        <item x="3"/>
        <item x="2"/>
        <item x="1"/>
        <item x="8"/>
        <item x="0"/>
        <item x="5"/>
        <item x="7"/>
        <item x="4"/>
        <item t="default"/>
      </items>
    </pivotField>
    <pivotField showAll="0"/>
    <pivotField axis="axisRow" showAll="0">
      <items count="4">
        <item x="1"/>
        <item x="2"/>
        <item x="0"/>
        <item t="default"/>
      </items>
    </pivotField>
    <pivotField dataField="1" showAll="0">
      <items count="440">
        <item x="340"/>
        <item x="423"/>
        <item x="271"/>
        <item x="381"/>
        <item x="90"/>
        <item x="77"/>
        <item x="415"/>
        <item x="320"/>
        <item x="437"/>
        <item x="22"/>
        <item x="397"/>
        <item x="110"/>
        <item x="138"/>
        <item x="156"/>
        <item x="15"/>
        <item x="186"/>
        <item x="324"/>
        <item x="232"/>
        <item x="178"/>
        <item x="10"/>
        <item x="69"/>
        <item x="107"/>
        <item x="306"/>
        <item x="334"/>
        <item x="304"/>
        <item x="104"/>
        <item x="211"/>
        <item x="425"/>
        <item x="267"/>
        <item x="233"/>
        <item x="326"/>
        <item x="169"/>
        <item x="142"/>
        <item x="322"/>
        <item x="335"/>
        <item x="201"/>
        <item x="20"/>
        <item x="362"/>
        <item x="135"/>
        <item x="62"/>
        <item x="349"/>
        <item x="126"/>
        <item x="21"/>
        <item x="288"/>
        <item x="192"/>
        <item x="257"/>
        <item x="297"/>
        <item x="106"/>
        <item x="227"/>
        <item x="6"/>
        <item x="118"/>
        <item x="31"/>
        <item x="60"/>
        <item x="398"/>
        <item x="250"/>
        <item x="331"/>
        <item x="41"/>
        <item x="225"/>
        <item x="383"/>
        <item x="98"/>
        <item x="93"/>
        <item x="374"/>
        <item x="121"/>
        <item x="241"/>
        <item x="213"/>
        <item x="248"/>
        <item x="260"/>
        <item x="190"/>
        <item x="424"/>
        <item x="229"/>
        <item x="25"/>
        <item x="366"/>
        <item x="252"/>
        <item x="410"/>
        <item x="312"/>
        <item x="5"/>
        <item x="313"/>
        <item x="438"/>
        <item x="202"/>
        <item x="389"/>
        <item x="102"/>
        <item x="99"/>
        <item x="27"/>
        <item x="428"/>
        <item x="183"/>
        <item x="48"/>
        <item x="301"/>
        <item x="173"/>
        <item x="429"/>
        <item x="57"/>
        <item x="356"/>
        <item x="23"/>
        <item x="61"/>
        <item x="434"/>
        <item x="157"/>
        <item x="198"/>
        <item x="143"/>
        <item x="154"/>
        <item x="189"/>
        <item x="327"/>
        <item x="149"/>
        <item x="194"/>
        <item x="214"/>
        <item x="256"/>
        <item x="222"/>
        <item x="36"/>
        <item x="380"/>
        <item x="246"/>
        <item x="378"/>
        <item x="247"/>
        <item x="223"/>
        <item x="163"/>
        <item x="407"/>
        <item x="265"/>
        <item x="262"/>
        <item x="226"/>
        <item x="158"/>
        <item x="325"/>
        <item x="357"/>
        <item x="18"/>
        <item x="338"/>
        <item x="195"/>
        <item x="393"/>
        <item x="206"/>
        <item x="278"/>
        <item x="53"/>
        <item x="305"/>
        <item x="171"/>
        <item x="348"/>
        <item x="354"/>
        <item x="150"/>
        <item x="210"/>
        <item x="224"/>
        <item x="409"/>
        <item x="311"/>
        <item x="91"/>
        <item x="358"/>
        <item x="351"/>
        <item x="82"/>
        <item x="296"/>
        <item x="286"/>
        <item x="292"/>
        <item x="92"/>
        <item x="353"/>
        <item x="346"/>
        <item x="47"/>
        <item x="240"/>
        <item x="391"/>
        <item x="197"/>
        <item x="129"/>
        <item x="52"/>
        <item x="379"/>
        <item x="81"/>
        <item x="96"/>
        <item x="38"/>
        <item x="435"/>
        <item x="368"/>
        <item x="217"/>
        <item x="253"/>
        <item x="318"/>
        <item x="105"/>
        <item x="132"/>
        <item x="238"/>
        <item x="9"/>
        <item x="236"/>
        <item x="73"/>
        <item x="35"/>
        <item x="113"/>
        <item x="180"/>
        <item x="284"/>
        <item x="3"/>
        <item x="71"/>
        <item x="416"/>
        <item x="315"/>
        <item x="152"/>
        <item x="72"/>
        <item x="406"/>
        <item x="310"/>
        <item x="208"/>
        <item x="367"/>
        <item x="216"/>
        <item x="359"/>
        <item x="426"/>
        <item x="122"/>
        <item x="285"/>
        <item x="13"/>
        <item x="144"/>
        <item x="130"/>
        <item x="207"/>
        <item x="95"/>
        <item x="280"/>
        <item x="269"/>
        <item x="221"/>
        <item x="308"/>
        <item x="29"/>
        <item x="63"/>
        <item x="120"/>
        <item x="299"/>
        <item x="182"/>
        <item x="164"/>
        <item x="103"/>
        <item x="136"/>
        <item x="51"/>
        <item x="67"/>
        <item x="49"/>
        <item x="42"/>
        <item x="43"/>
        <item x="263"/>
        <item x="244"/>
        <item x="411"/>
        <item x="17"/>
        <item x="112"/>
        <item x="1"/>
        <item x="414"/>
        <item x="254"/>
        <item x="83"/>
        <item x="140"/>
        <item x="273"/>
        <item x="242"/>
        <item x="203"/>
        <item x="369"/>
        <item x="191"/>
        <item x="235"/>
        <item x="88"/>
        <item x="54"/>
        <item x="39"/>
        <item x="160"/>
        <item x="266"/>
        <item x="330"/>
        <item x="314"/>
        <item x="396"/>
        <item x="290"/>
        <item x="50"/>
        <item x="268"/>
        <item x="187"/>
        <item x="275"/>
        <item x="37"/>
        <item x="303"/>
        <item x="302"/>
        <item x="350"/>
        <item x="16"/>
        <item x="100"/>
        <item x="124"/>
        <item x="141"/>
        <item x="109"/>
        <item x="151"/>
        <item x="119"/>
        <item x="172"/>
        <item x="289"/>
        <item x="128"/>
        <item x="147"/>
        <item x="387"/>
        <item x="219"/>
        <item x="174"/>
        <item x="421"/>
        <item x="293"/>
        <item x="341"/>
        <item x="131"/>
        <item x="146"/>
        <item x="125"/>
        <item x="56"/>
        <item x="279"/>
        <item x="376"/>
        <item x="317"/>
        <item x="274"/>
        <item x="399"/>
        <item x="59"/>
        <item x="11"/>
        <item x="287"/>
        <item x="205"/>
        <item x="329"/>
        <item x="243"/>
        <item x="316"/>
        <item x="319"/>
        <item x="4"/>
        <item x="375"/>
        <item x="193"/>
        <item x="204"/>
        <item x="55"/>
        <item x="33"/>
        <item x="392"/>
        <item x="175"/>
        <item x="420"/>
        <item x="430"/>
        <item x="45"/>
        <item x="404"/>
        <item x="145"/>
        <item x="307"/>
        <item x="251"/>
        <item x="134"/>
        <item x="153"/>
        <item x="162"/>
        <item x="168"/>
        <item x="84"/>
        <item x="408"/>
        <item x="181"/>
        <item x="343"/>
        <item x="418"/>
        <item x="209"/>
        <item x="166"/>
        <item x="234"/>
        <item x="333"/>
        <item x="417"/>
        <item x="337"/>
        <item x="188"/>
        <item x="127"/>
        <item x="261"/>
        <item x="298"/>
        <item x="89"/>
        <item x="361"/>
        <item x="394"/>
        <item x="14"/>
        <item x="339"/>
        <item x="355"/>
        <item x="76"/>
        <item x="282"/>
        <item x="283"/>
        <item x="345"/>
        <item x="176"/>
        <item x="155"/>
        <item x="12"/>
        <item x="139"/>
        <item x="272"/>
        <item x="32"/>
        <item x="264"/>
        <item x="276"/>
        <item x="24"/>
        <item x="255"/>
        <item x="300"/>
        <item x="395"/>
        <item x="184"/>
        <item x="40"/>
        <item x="237"/>
        <item x="281"/>
        <item x="231"/>
        <item x="70"/>
        <item x="372"/>
        <item x="412"/>
        <item x="2"/>
        <item x="0"/>
        <item x="170"/>
        <item x="159"/>
        <item x="80"/>
        <item x="165"/>
        <item x="436"/>
        <item x="270"/>
        <item x="137"/>
        <item x="360"/>
        <item x="295"/>
        <item x="291"/>
        <item x="199"/>
        <item x="101"/>
        <item x="413"/>
        <item x="347"/>
        <item x="249"/>
        <item x="323"/>
        <item x="8"/>
        <item x="111"/>
        <item x="26"/>
        <item x="309"/>
        <item x="384"/>
        <item x="390"/>
        <item x="373"/>
        <item x="427"/>
        <item x="433"/>
        <item x="7"/>
        <item x="74"/>
        <item x="75"/>
        <item x="400"/>
        <item x="85"/>
        <item x="133"/>
        <item x="123"/>
        <item x="332"/>
        <item x="108"/>
        <item x="212"/>
        <item x="161"/>
        <item x="58"/>
        <item x="364"/>
        <item x="405"/>
        <item x="66"/>
        <item x="114"/>
        <item x="44"/>
        <item x="344"/>
        <item x="87"/>
        <item x="403"/>
        <item x="30"/>
        <item x="328"/>
        <item x="177"/>
        <item x="116"/>
        <item x="277"/>
        <item x="432"/>
        <item x="259"/>
        <item x="185"/>
        <item x="79"/>
        <item x="377"/>
        <item x="65"/>
        <item x="294"/>
        <item x="431"/>
        <item x="419"/>
        <item x="388"/>
        <item x="28"/>
        <item x="336"/>
        <item x="218"/>
        <item x="402"/>
        <item x="94"/>
        <item x="115"/>
        <item x="220"/>
        <item x="401"/>
        <item x="352"/>
        <item x="386"/>
        <item x="371"/>
        <item x="365"/>
        <item x="68"/>
        <item x="382"/>
        <item x="64"/>
        <item x="363"/>
        <item x="422"/>
        <item x="228"/>
        <item x="258"/>
        <item x="78"/>
        <item x="342"/>
        <item x="46"/>
        <item x="215"/>
        <item x="239"/>
        <item x="86"/>
        <item x="148"/>
        <item x="167"/>
        <item x="385"/>
        <item x="97"/>
        <item x="196"/>
        <item x="19"/>
        <item x="370"/>
        <item x="179"/>
        <item x="230"/>
        <item x="321"/>
        <item x="117"/>
        <item x="34"/>
        <item x="200"/>
        <item x="24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4">
    <i>
      <x/>
    </i>
    <i>
      <x v="1"/>
    </i>
    <i>
      <x v="2"/>
    </i>
    <i t="grand">
      <x/>
    </i>
  </rowItems>
  <colItems count="1">
    <i/>
  </colItems>
  <dataFields count="1">
    <dataField name="Count of Total_Sales" fld="8" subtotal="count" showDataAs="percentOfTotal" baseField="7" baseItem="0" numFmtId="10"/>
  </dataFields>
  <chartFormats count="1">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7C0119-B424-4EDC-8ACC-AE38A4EE042C}" name="Average quantity sold per order"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9">
  <location ref="B55:C546" firstHeaderRow="1" firstDataRow="1" firstDataCol="1"/>
  <pivotFields count="11">
    <pivotField axis="axisRow" multipleItemSelectionAllowed="1" showAll="0">
      <items count="4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t="default"/>
      </items>
    </pivotField>
    <pivotField numFmtId="164" showAll="0">
      <items count="265">
        <item x="244"/>
        <item x="57"/>
        <item x="196"/>
        <item x="107"/>
        <item x="200"/>
        <item x="84"/>
        <item x="261"/>
        <item x="122"/>
        <item x="45"/>
        <item x="80"/>
        <item x="262"/>
        <item x="197"/>
        <item x="206"/>
        <item x="224"/>
        <item x="6"/>
        <item x="23"/>
        <item x="259"/>
        <item x="219"/>
        <item x="193"/>
        <item x="92"/>
        <item x="120"/>
        <item x="96"/>
        <item x="53"/>
        <item x="121"/>
        <item x="179"/>
        <item x="190"/>
        <item x="169"/>
        <item x="78"/>
        <item x="64"/>
        <item x="129"/>
        <item x="199"/>
        <item x="236"/>
        <item x="97"/>
        <item x="27"/>
        <item x="56"/>
        <item x="32"/>
        <item x="115"/>
        <item x="49"/>
        <item x="58"/>
        <item x="34"/>
        <item x="209"/>
        <item x="176"/>
        <item x="98"/>
        <item x="86"/>
        <item x="82"/>
        <item x="128"/>
        <item x="186"/>
        <item x="254"/>
        <item x="4"/>
        <item x="181"/>
        <item x="250"/>
        <item x="55"/>
        <item x="126"/>
        <item x="10"/>
        <item x="43"/>
        <item x="51"/>
        <item x="255"/>
        <item x="203"/>
        <item x="116"/>
        <item x="162"/>
        <item x="159"/>
        <item x="101"/>
        <item x="11"/>
        <item x="105"/>
        <item x="0"/>
        <item x="182"/>
        <item x="59"/>
        <item x="3"/>
        <item x="232"/>
        <item x="175"/>
        <item x="146"/>
        <item x="211"/>
        <item x="136"/>
        <item x="247"/>
        <item x="180"/>
        <item x="135"/>
        <item x="7"/>
        <item x="157"/>
        <item x="163"/>
        <item x="230"/>
        <item x="152"/>
        <item x="214"/>
        <item x="132"/>
        <item x="170"/>
        <item x="148"/>
        <item x="37"/>
        <item x="130"/>
        <item x="39"/>
        <item x="85"/>
        <item x="140"/>
        <item x="87"/>
        <item x="178"/>
        <item x="226"/>
        <item x="118"/>
        <item x="161"/>
        <item x="239"/>
        <item x="166"/>
        <item x="165"/>
        <item x="14"/>
        <item x="172"/>
        <item x="13"/>
        <item x="183"/>
        <item x="251"/>
        <item x="215"/>
        <item x="79"/>
        <item x="198"/>
        <item x="123"/>
        <item x="21"/>
        <item x="65"/>
        <item x="88"/>
        <item x="142"/>
        <item x="41"/>
        <item x="185"/>
        <item x="28"/>
        <item x="119"/>
        <item x="102"/>
        <item x="223"/>
        <item x="210"/>
        <item x="31"/>
        <item x="188"/>
        <item x="112"/>
        <item x="145"/>
        <item x="202"/>
        <item x="156"/>
        <item x="252"/>
        <item x="229"/>
        <item x="124"/>
        <item x="29"/>
        <item x="5"/>
        <item x="30"/>
        <item x="62"/>
        <item x="19"/>
        <item x="184"/>
        <item x="187"/>
        <item x="233"/>
        <item x="139"/>
        <item x="167"/>
        <item x="93"/>
        <item x="66"/>
        <item x="155"/>
        <item x="256"/>
        <item x="54"/>
        <item x="111"/>
        <item x="73"/>
        <item x="72"/>
        <item x="103"/>
        <item x="8"/>
        <item x="99"/>
        <item x="77"/>
        <item x="63"/>
        <item x="149"/>
        <item x="117"/>
        <item x="208"/>
        <item x="151"/>
        <item x="134"/>
        <item x="194"/>
        <item x="104"/>
        <item x="242"/>
        <item x="191"/>
        <item x="91"/>
        <item x="137"/>
        <item x="143"/>
        <item x="25"/>
        <item x="74"/>
        <item x="189"/>
        <item x="245"/>
        <item x="160"/>
        <item x="114"/>
        <item x="46"/>
        <item x="125"/>
        <item x="35"/>
        <item x="218"/>
        <item x="153"/>
        <item x="260"/>
        <item x="70"/>
        <item x="24"/>
        <item x="177"/>
        <item x="108"/>
        <item x="204"/>
        <item x="106"/>
        <item x="16"/>
        <item x="138"/>
        <item x="60"/>
        <item x="90"/>
        <item x="234"/>
        <item x="174"/>
        <item x="52"/>
        <item x="47"/>
        <item x="171"/>
        <item x="95"/>
        <item x="238"/>
        <item x="67"/>
        <item x="2"/>
        <item x="248"/>
        <item x="216"/>
        <item x="42"/>
        <item x="241"/>
        <item x="20"/>
        <item x="249"/>
        <item x="243"/>
        <item x="76"/>
        <item x="207"/>
        <item x="110"/>
        <item x="127"/>
        <item x="253"/>
        <item x="131"/>
        <item x="212"/>
        <item x="89"/>
        <item x="246"/>
        <item x="100"/>
        <item x="18"/>
        <item x="147"/>
        <item x="71"/>
        <item x="173"/>
        <item x="217"/>
        <item x="81"/>
        <item x="201"/>
        <item x="69"/>
        <item x="231"/>
        <item x="221"/>
        <item x="38"/>
        <item x="168"/>
        <item x="15"/>
        <item x="61"/>
        <item x="237"/>
        <item x="222"/>
        <item x="22"/>
        <item x="144"/>
        <item x="44"/>
        <item x="195"/>
        <item x="141"/>
        <item x="240"/>
        <item x="36"/>
        <item x="225"/>
        <item x="228"/>
        <item x="205"/>
        <item x="154"/>
        <item x="158"/>
        <item x="164"/>
        <item x="83"/>
        <item x="94"/>
        <item x="40"/>
        <item x="9"/>
        <item x="263"/>
        <item x="75"/>
        <item x="50"/>
        <item x="257"/>
        <item x="213"/>
        <item x="150"/>
        <item x="17"/>
        <item x="26"/>
        <item x="48"/>
        <item x="133"/>
        <item x="1"/>
        <item x="235"/>
        <item x="68"/>
        <item x="113"/>
        <item x="227"/>
        <item x="220"/>
        <item x="258"/>
        <item x="109"/>
        <item x="12"/>
        <item x="33"/>
        <item x="192"/>
        <item t="default"/>
      </items>
    </pivotField>
    <pivotField showAll="0">
      <items count="80">
        <item x="63"/>
        <item x="25"/>
        <item x="74"/>
        <item x="3"/>
        <item x="15"/>
        <item x="50"/>
        <item x="70"/>
        <item x="43"/>
        <item x="34"/>
        <item x="52"/>
        <item x="36"/>
        <item x="0"/>
        <item x="61"/>
        <item x="24"/>
        <item x="76"/>
        <item x="29"/>
        <item x="2"/>
        <item x="45"/>
        <item x="18"/>
        <item x="54"/>
        <item x="40"/>
        <item x="14"/>
        <item x="64"/>
        <item x="33"/>
        <item x="59"/>
        <item x="1"/>
        <item x="6"/>
        <item x="19"/>
        <item x="5"/>
        <item x="23"/>
        <item x="31"/>
        <item x="55"/>
        <item x="48"/>
        <item x="57"/>
        <item x="53"/>
        <item x="72"/>
        <item x="49"/>
        <item x="9"/>
        <item x="13"/>
        <item x="56"/>
        <item x="16"/>
        <item x="69"/>
        <item x="77"/>
        <item x="28"/>
        <item x="51"/>
        <item x="4"/>
        <item x="8"/>
        <item x="42"/>
        <item x="46"/>
        <item x="60"/>
        <item x="32"/>
        <item x="67"/>
        <item x="47"/>
        <item x="21"/>
        <item x="35"/>
        <item x="68"/>
        <item x="71"/>
        <item x="7"/>
        <item x="30"/>
        <item x="66"/>
        <item x="27"/>
        <item x="11"/>
        <item x="73"/>
        <item x="10"/>
        <item x="78"/>
        <item x="44"/>
        <item x="20"/>
        <item x="58"/>
        <item x="39"/>
        <item x="62"/>
        <item x="26"/>
        <item x="12"/>
        <item x="22"/>
        <item x="37"/>
        <item x="65"/>
        <item x="41"/>
        <item x="75"/>
        <item x="17"/>
        <item x="38"/>
        <item t="default"/>
      </items>
    </pivotField>
    <pivotField showAll="0">
      <items count="8">
        <item x="5"/>
        <item x="0"/>
        <item x="3"/>
        <item x="2"/>
        <item x="6"/>
        <item x="1"/>
        <item x="4"/>
        <item t="default"/>
      </items>
    </pivotField>
    <pivotField showAll="0"/>
    <pivotField dataField="1" showAll="0"/>
    <pivotField showAll="0"/>
    <pivotField showAll="0">
      <items count="4">
        <item x="1"/>
        <item x="2"/>
        <item x="0"/>
        <item t="default"/>
      </items>
    </pivotField>
    <pivotField showAll="0">
      <items count="440">
        <item x="340"/>
        <item x="423"/>
        <item x="271"/>
        <item x="381"/>
        <item x="90"/>
        <item x="77"/>
        <item x="415"/>
        <item x="320"/>
        <item x="437"/>
        <item x="22"/>
        <item x="397"/>
        <item x="110"/>
        <item x="138"/>
        <item x="156"/>
        <item x="15"/>
        <item x="186"/>
        <item x="324"/>
        <item x="232"/>
        <item x="178"/>
        <item x="10"/>
        <item x="69"/>
        <item x="107"/>
        <item x="306"/>
        <item x="334"/>
        <item x="304"/>
        <item x="104"/>
        <item x="211"/>
        <item x="425"/>
        <item x="267"/>
        <item x="233"/>
        <item x="326"/>
        <item x="169"/>
        <item x="142"/>
        <item x="322"/>
        <item x="335"/>
        <item x="201"/>
        <item x="20"/>
        <item x="362"/>
        <item x="135"/>
        <item x="62"/>
        <item x="349"/>
        <item x="126"/>
        <item x="21"/>
        <item x="288"/>
        <item x="192"/>
        <item x="257"/>
        <item x="297"/>
        <item x="106"/>
        <item x="227"/>
        <item x="6"/>
        <item x="118"/>
        <item x="31"/>
        <item x="60"/>
        <item x="398"/>
        <item x="250"/>
        <item x="331"/>
        <item x="41"/>
        <item x="225"/>
        <item x="383"/>
        <item x="98"/>
        <item x="93"/>
        <item x="374"/>
        <item x="121"/>
        <item x="241"/>
        <item x="213"/>
        <item x="248"/>
        <item x="260"/>
        <item x="190"/>
        <item x="424"/>
        <item x="229"/>
        <item x="25"/>
        <item x="366"/>
        <item x="252"/>
        <item x="410"/>
        <item x="312"/>
        <item x="5"/>
        <item x="313"/>
        <item x="438"/>
        <item x="202"/>
        <item x="389"/>
        <item x="102"/>
        <item x="99"/>
        <item x="27"/>
        <item x="428"/>
        <item x="183"/>
        <item x="48"/>
        <item x="301"/>
        <item x="173"/>
        <item x="429"/>
        <item x="57"/>
        <item x="356"/>
        <item x="23"/>
        <item x="61"/>
        <item x="434"/>
        <item x="157"/>
        <item x="198"/>
        <item x="143"/>
        <item x="154"/>
        <item x="189"/>
        <item x="327"/>
        <item x="149"/>
        <item x="194"/>
        <item x="214"/>
        <item x="256"/>
        <item x="222"/>
        <item x="36"/>
        <item x="380"/>
        <item x="246"/>
        <item x="378"/>
        <item x="247"/>
        <item x="223"/>
        <item x="163"/>
        <item x="407"/>
        <item x="265"/>
        <item x="262"/>
        <item x="226"/>
        <item x="158"/>
        <item x="325"/>
        <item x="357"/>
        <item x="18"/>
        <item x="338"/>
        <item x="195"/>
        <item x="393"/>
        <item x="206"/>
        <item x="278"/>
        <item x="53"/>
        <item x="305"/>
        <item x="171"/>
        <item x="348"/>
        <item x="354"/>
        <item x="150"/>
        <item x="210"/>
        <item x="224"/>
        <item x="409"/>
        <item x="311"/>
        <item x="91"/>
        <item x="358"/>
        <item x="351"/>
        <item x="82"/>
        <item x="296"/>
        <item x="286"/>
        <item x="292"/>
        <item x="92"/>
        <item x="353"/>
        <item x="346"/>
        <item x="47"/>
        <item x="240"/>
        <item x="391"/>
        <item x="197"/>
        <item x="129"/>
        <item x="52"/>
        <item x="379"/>
        <item x="81"/>
        <item x="96"/>
        <item x="38"/>
        <item x="435"/>
        <item x="368"/>
        <item x="217"/>
        <item x="253"/>
        <item x="318"/>
        <item x="105"/>
        <item x="132"/>
        <item x="238"/>
        <item x="9"/>
        <item x="236"/>
        <item x="73"/>
        <item x="35"/>
        <item x="113"/>
        <item x="180"/>
        <item x="284"/>
        <item x="3"/>
        <item x="71"/>
        <item x="416"/>
        <item x="315"/>
        <item x="152"/>
        <item x="72"/>
        <item x="406"/>
        <item x="310"/>
        <item x="208"/>
        <item x="367"/>
        <item x="216"/>
        <item x="359"/>
        <item x="426"/>
        <item x="122"/>
        <item x="285"/>
        <item x="13"/>
        <item x="144"/>
        <item x="130"/>
        <item x="207"/>
        <item x="95"/>
        <item x="280"/>
        <item x="269"/>
        <item x="221"/>
        <item x="308"/>
        <item x="29"/>
        <item x="63"/>
        <item x="120"/>
        <item x="299"/>
        <item x="182"/>
        <item x="164"/>
        <item x="103"/>
        <item x="136"/>
        <item x="51"/>
        <item x="67"/>
        <item x="49"/>
        <item x="42"/>
        <item x="43"/>
        <item x="263"/>
        <item x="244"/>
        <item x="411"/>
        <item x="17"/>
        <item x="112"/>
        <item x="1"/>
        <item x="414"/>
        <item x="254"/>
        <item x="83"/>
        <item x="140"/>
        <item x="273"/>
        <item x="242"/>
        <item x="203"/>
        <item x="369"/>
        <item x="191"/>
        <item x="235"/>
        <item x="88"/>
        <item x="54"/>
        <item x="39"/>
        <item x="160"/>
        <item x="266"/>
        <item x="330"/>
        <item x="314"/>
        <item x="396"/>
        <item x="290"/>
        <item x="50"/>
        <item x="268"/>
        <item x="187"/>
        <item x="275"/>
        <item x="37"/>
        <item x="303"/>
        <item x="302"/>
        <item x="350"/>
        <item x="16"/>
        <item x="100"/>
        <item x="124"/>
        <item x="141"/>
        <item x="109"/>
        <item x="151"/>
        <item x="119"/>
        <item x="172"/>
        <item x="289"/>
        <item x="128"/>
        <item x="147"/>
        <item x="387"/>
        <item x="219"/>
        <item x="174"/>
        <item x="421"/>
        <item x="293"/>
        <item x="341"/>
        <item x="131"/>
        <item x="146"/>
        <item x="125"/>
        <item x="56"/>
        <item x="279"/>
        <item x="376"/>
        <item x="317"/>
        <item x="274"/>
        <item x="399"/>
        <item x="59"/>
        <item x="11"/>
        <item x="287"/>
        <item x="205"/>
        <item x="329"/>
        <item x="243"/>
        <item x="316"/>
        <item x="319"/>
        <item x="4"/>
        <item x="375"/>
        <item x="193"/>
        <item x="204"/>
        <item x="55"/>
        <item x="33"/>
        <item x="392"/>
        <item x="175"/>
        <item x="420"/>
        <item x="430"/>
        <item x="45"/>
        <item x="404"/>
        <item x="145"/>
        <item x="307"/>
        <item x="251"/>
        <item x="134"/>
        <item x="153"/>
        <item x="162"/>
        <item x="168"/>
        <item x="84"/>
        <item x="408"/>
        <item x="181"/>
        <item x="343"/>
        <item x="418"/>
        <item x="209"/>
        <item x="166"/>
        <item x="234"/>
        <item x="333"/>
        <item x="417"/>
        <item x="337"/>
        <item x="188"/>
        <item x="127"/>
        <item x="261"/>
        <item x="298"/>
        <item x="89"/>
        <item x="361"/>
        <item x="394"/>
        <item x="14"/>
        <item x="339"/>
        <item x="355"/>
        <item x="76"/>
        <item x="282"/>
        <item x="283"/>
        <item x="345"/>
        <item x="176"/>
        <item x="155"/>
        <item x="12"/>
        <item x="139"/>
        <item x="272"/>
        <item x="32"/>
        <item x="264"/>
        <item x="276"/>
        <item x="24"/>
        <item x="255"/>
        <item x="300"/>
        <item x="395"/>
        <item x="184"/>
        <item x="40"/>
        <item x="237"/>
        <item x="281"/>
        <item x="231"/>
        <item x="70"/>
        <item x="372"/>
        <item x="412"/>
        <item x="2"/>
        <item x="0"/>
        <item x="170"/>
        <item x="159"/>
        <item x="80"/>
        <item x="165"/>
        <item x="436"/>
        <item x="270"/>
        <item x="137"/>
        <item x="360"/>
        <item x="295"/>
        <item x="291"/>
        <item x="199"/>
        <item x="101"/>
        <item x="413"/>
        <item x="347"/>
        <item x="249"/>
        <item x="323"/>
        <item x="8"/>
        <item x="111"/>
        <item x="26"/>
        <item x="309"/>
        <item x="384"/>
        <item x="390"/>
        <item x="373"/>
        <item x="427"/>
        <item x="433"/>
        <item x="7"/>
        <item x="74"/>
        <item x="75"/>
        <item x="400"/>
        <item x="85"/>
        <item x="133"/>
        <item x="123"/>
        <item x="332"/>
        <item x="108"/>
        <item x="212"/>
        <item x="161"/>
        <item x="58"/>
        <item x="364"/>
        <item x="405"/>
        <item x="66"/>
        <item x="114"/>
        <item x="44"/>
        <item x="344"/>
        <item x="87"/>
        <item x="403"/>
        <item x="30"/>
        <item x="328"/>
        <item x="177"/>
        <item x="116"/>
        <item x="277"/>
        <item x="432"/>
        <item x="259"/>
        <item x="185"/>
        <item x="79"/>
        <item x="377"/>
        <item x="65"/>
        <item x="294"/>
        <item x="431"/>
        <item x="419"/>
        <item x="388"/>
        <item x="28"/>
        <item x="336"/>
        <item x="218"/>
        <item x="402"/>
        <item x="94"/>
        <item x="115"/>
        <item x="220"/>
        <item x="401"/>
        <item x="352"/>
        <item x="386"/>
        <item x="371"/>
        <item x="365"/>
        <item x="68"/>
        <item x="382"/>
        <item x="64"/>
        <item x="363"/>
        <item x="422"/>
        <item x="228"/>
        <item x="258"/>
        <item x="78"/>
        <item x="342"/>
        <item x="46"/>
        <item x="215"/>
        <item x="239"/>
        <item x="86"/>
        <item x="148"/>
        <item x="167"/>
        <item x="385"/>
        <item x="97"/>
        <item x="196"/>
        <item x="19"/>
        <item x="370"/>
        <item x="179"/>
        <item x="230"/>
        <item x="321"/>
        <item x="117"/>
        <item x="34"/>
        <item x="200"/>
        <item x="24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4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t="grand">
      <x/>
    </i>
  </rowItems>
  <colItems count="1">
    <i/>
  </colItems>
  <dataFields count="1">
    <dataField name="Average of Quantity"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1A37D1-84A4-4351-8344-681C553AAC1A}" name="PivotTable7"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6">
  <location ref="F102:G128" firstHeaderRow="1" firstDataRow="1" firstDataCol="1"/>
  <pivotFields count="11">
    <pivotField multipleItemSelectionAllowed="1" showAll="0">
      <items count="4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t="default"/>
      </items>
    </pivotField>
    <pivotField numFmtId="164" showAll="0">
      <items count="265">
        <item x="244"/>
        <item x="57"/>
        <item x="196"/>
        <item x="107"/>
        <item x="200"/>
        <item x="84"/>
        <item x="261"/>
        <item x="122"/>
        <item x="45"/>
        <item x="80"/>
        <item x="262"/>
        <item x="197"/>
        <item x="206"/>
        <item x="224"/>
        <item x="6"/>
        <item x="23"/>
        <item x="259"/>
        <item x="219"/>
        <item x="193"/>
        <item x="92"/>
        <item x="120"/>
        <item x="96"/>
        <item x="53"/>
        <item x="121"/>
        <item x="179"/>
        <item x="190"/>
        <item x="169"/>
        <item x="78"/>
        <item x="64"/>
        <item x="129"/>
        <item x="199"/>
        <item x="236"/>
        <item x="97"/>
        <item x="27"/>
        <item x="56"/>
        <item x="32"/>
        <item x="115"/>
        <item x="49"/>
        <item x="58"/>
        <item x="34"/>
        <item x="209"/>
        <item x="176"/>
        <item x="98"/>
        <item x="86"/>
        <item x="82"/>
        <item x="128"/>
        <item x="186"/>
        <item x="254"/>
        <item x="4"/>
        <item x="181"/>
        <item x="250"/>
        <item x="55"/>
        <item x="126"/>
        <item x="10"/>
        <item x="43"/>
        <item x="51"/>
        <item x="255"/>
        <item x="203"/>
        <item x="116"/>
        <item x="162"/>
        <item x="159"/>
        <item x="101"/>
        <item x="11"/>
        <item x="105"/>
        <item x="0"/>
        <item x="182"/>
        <item x="59"/>
        <item x="3"/>
        <item x="232"/>
        <item x="175"/>
        <item x="146"/>
        <item x="211"/>
        <item x="136"/>
        <item x="247"/>
        <item x="180"/>
        <item x="135"/>
        <item x="7"/>
        <item x="157"/>
        <item x="163"/>
        <item x="230"/>
        <item x="152"/>
        <item x="214"/>
        <item x="132"/>
        <item x="170"/>
        <item x="148"/>
        <item x="37"/>
        <item x="130"/>
        <item x="39"/>
        <item x="85"/>
        <item x="140"/>
        <item x="87"/>
        <item x="178"/>
        <item x="226"/>
        <item x="118"/>
        <item x="161"/>
        <item x="239"/>
        <item x="166"/>
        <item x="165"/>
        <item x="14"/>
        <item x="172"/>
        <item x="13"/>
        <item x="183"/>
        <item x="251"/>
        <item x="215"/>
        <item x="79"/>
        <item x="198"/>
        <item x="123"/>
        <item x="21"/>
        <item x="65"/>
        <item x="88"/>
        <item x="142"/>
        <item x="41"/>
        <item x="185"/>
        <item x="28"/>
        <item x="119"/>
        <item x="102"/>
        <item x="223"/>
        <item x="210"/>
        <item x="31"/>
        <item x="188"/>
        <item x="112"/>
        <item x="145"/>
        <item x="202"/>
        <item x="156"/>
        <item x="252"/>
        <item x="229"/>
        <item x="124"/>
        <item x="29"/>
        <item x="5"/>
        <item x="30"/>
        <item x="62"/>
        <item x="19"/>
        <item x="184"/>
        <item x="187"/>
        <item x="233"/>
        <item x="139"/>
        <item x="167"/>
        <item x="93"/>
        <item x="66"/>
        <item x="155"/>
        <item x="256"/>
        <item x="54"/>
        <item x="111"/>
        <item x="73"/>
        <item x="72"/>
        <item x="103"/>
        <item x="8"/>
        <item x="99"/>
        <item x="77"/>
        <item x="63"/>
        <item x="149"/>
        <item x="117"/>
        <item x="208"/>
        <item x="151"/>
        <item x="134"/>
        <item x="194"/>
        <item x="104"/>
        <item x="242"/>
        <item x="191"/>
        <item x="91"/>
        <item x="137"/>
        <item x="143"/>
        <item x="25"/>
        <item x="74"/>
        <item x="189"/>
        <item x="245"/>
        <item x="160"/>
        <item x="114"/>
        <item x="46"/>
        <item x="125"/>
        <item x="35"/>
        <item x="218"/>
        <item x="153"/>
        <item x="260"/>
        <item x="70"/>
        <item x="24"/>
        <item x="177"/>
        <item x="108"/>
        <item x="204"/>
        <item x="106"/>
        <item x="16"/>
        <item x="138"/>
        <item x="60"/>
        <item x="90"/>
        <item x="234"/>
        <item x="174"/>
        <item x="52"/>
        <item x="47"/>
        <item x="171"/>
        <item x="95"/>
        <item x="238"/>
        <item x="67"/>
        <item x="2"/>
        <item x="248"/>
        <item x="216"/>
        <item x="42"/>
        <item x="241"/>
        <item x="20"/>
        <item x="249"/>
        <item x="243"/>
        <item x="76"/>
        <item x="207"/>
        <item x="110"/>
        <item x="127"/>
        <item x="253"/>
        <item x="131"/>
        <item x="212"/>
        <item x="89"/>
        <item x="246"/>
        <item x="100"/>
        <item x="18"/>
        <item x="147"/>
        <item x="71"/>
        <item x="173"/>
        <item x="217"/>
        <item x="81"/>
        <item x="201"/>
        <item x="69"/>
        <item x="231"/>
        <item x="221"/>
        <item x="38"/>
        <item x="168"/>
        <item x="15"/>
        <item x="61"/>
        <item x="237"/>
        <item x="222"/>
        <item x="22"/>
        <item x="144"/>
        <item x="44"/>
        <item x="195"/>
        <item x="141"/>
        <item x="240"/>
        <item x="36"/>
        <item x="225"/>
        <item x="228"/>
        <item x="205"/>
        <item x="154"/>
        <item x="158"/>
        <item x="164"/>
        <item x="83"/>
        <item x="94"/>
        <item x="40"/>
        <item x="9"/>
        <item x="263"/>
        <item x="75"/>
        <item x="50"/>
        <item x="257"/>
        <item x="213"/>
        <item x="150"/>
        <item x="17"/>
        <item x="26"/>
        <item x="48"/>
        <item x="133"/>
        <item x="1"/>
        <item x="235"/>
        <item x="68"/>
        <item x="113"/>
        <item x="227"/>
        <item x="220"/>
        <item x="258"/>
        <item x="109"/>
        <item x="12"/>
        <item x="33"/>
        <item x="192"/>
        <item t="default"/>
      </items>
    </pivotField>
    <pivotField showAll="0">
      <items count="80">
        <item x="63"/>
        <item x="25"/>
        <item x="74"/>
        <item x="3"/>
        <item x="15"/>
        <item x="50"/>
        <item x="70"/>
        <item x="43"/>
        <item x="34"/>
        <item x="52"/>
        <item x="36"/>
        <item x="0"/>
        <item x="61"/>
        <item x="24"/>
        <item x="76"/>
        <item x="29"/>
        <item x="2"/>
        <item x="45"/>
        <item x="18"/>
        <item x="54"/>
        <item x="40"/>
        <item x="14"/>
        <item x="64"/>
        <item x="33"/>
        <item x="59"/>
        <item x="1"/>
        <item x="6"/>
        <item x="19"/>
        <item x="5"/>
        <item x="23"/>
        <item x="31"/>
        <item x="55"/>
        <item x="48"/>
        <item x="57"/>
        <item x="53"/>
        <item x="72"/>
        <item x="49"/>
        <item x="9"/>
        <item x="13"/>
        <item x="56"/>
        <item x="16"/>
        <item x="69"/>
        <item x="77"/>
        <item x="28"/>
        <item x="51"/>
        <item x="4"/>
        <item x="8"/>
        <item x="42"/>
        <item x="46"/>
        <item x="60"/>
        <item x="32"/>
        <item x="67"/>
        <item x="47"/>
        <item x="21"/>
        <item x="35"/>
        <item x="68"/>
        <item x="71"/>
        <item x="7"/>
        <item x="30"/>
        <item x="66"/>
        <item x="27"/>
        <item x="11"/>
        <item x="73"/>
        <item x="10"/>
        <item x="78"/>
        <item x="44"/>
        <item x="20"/>
        <item x="58"/>
        <item x="39"/>
        <item x="62"/>
        <item x="26"/>
        <item x="12"/>
        <item x="22"/>
        <item x="37"/>
        <item x="65"/>
        <item x="41"/>
        <item x="75"/>
        <item x="17"/>
        <item x="38"/>
        <item t="default"/>
      </items>
    </pivotField>
    <pivotField axis="axisRow" showAll="0">
      <items count="8">
        <item x="5"/>
        <item x="0"/>
        <item x="3"/>
        <item x="2"/>
        <item x="6"/>
        <item x="1"/>
        <item x="4"/>
        <item t="default"/>
      </items>
    </pivotField>
    <pivotField showAll="0"/>
    <pivotField showAll="0"/>
    <pivotField showAll="0"/>
    <pivotField axis="axisRow" showAll="0">
      <items count="4">
        <item x="1"/>
        <item x="2"/>
        <item x="0"/>
        <item t="default"/>
      </items>
    </pivotField>
    <pivotField dataField="1" showAll="0">
      <items count="440">
        <item x="340"/>
        <item x="423"/>
        <item x="271"/>
        <item x="381"/>
        <item x="90"/>
        <item x="77"/>
        <item x="415"/>
        <item x="320"/>
        <item x="437"/>
        <item x="22"/>
        <item x="397"/>
        <item x="110"/>
        <item x="138"/>
        <item x="156"/>
        <item x="15"/>
        <item x="186"/>
        <item x="324"/>
        <item x="232"/>
        <item x="178"/>
        <item x="10"/>
        <item x="69"/>
        <item x="107"/>
        <item x="306"/>
        <item x="334"/>
        <item x="304"/>
        <item x="104"/>
        <item x="211"/>
        <item x="425"/>
        <item x="267"/>
        <item x="233"/>
        <item x="326"/>
        <item x="169"/>
        <item x="142"/>
        <item x="322"/>
        <item x="335"/>
        <item x="201"/>
        <item x="20"/>
        <item x="362"/>
        <item x="135"/>
        <item x="62"/>
        <item x="349"/>
        <item x="126"/>
        <item x="21"/>
        <item x="288"/>
        <item x="192"/>
        <item x="257"/>
        <item x="297"/>
        <item x="106"/>
        <item x="227"/>
        <item x="6"/>
        <item x="118"/>
        <item x="31"/>
        <item x="60"/>
        <item x="398"/>
        <item x="250"/>
        <item x="331"/>
        <item x="41"/>
        <item x="225"/>
        <item x="383"/>
        <item x="98"/>
        <item x="93"/>
        <item x="374"/>
        <item x="121"/>
        <item x="241"/>
        <item x="213"/>
        <item x="248"/>
        <item x="260"/>
        <item x="190"/>
        <item x="424"/>
        <item x="229"/>
        <item x="25"/>
        <item x="366"/>
        <item x="252"/>
        <item x="410"/>
        <item x="312"/>
        <item x="5"/>
        <item x="313"/>
        <item x="438"/>
        <item x="202"/>
        <item x="389"/>
        <item x="102"/>
        <item x="99"/>
        <item x="27"/>
        <item x="428"/>
        <item x="183"/>
        <item x="48"/>
        <item x="301"/>
        <item x="173"/>
        <item x="429"/>
        <item x="57"/>
        <item x="356"/>
        <item x="23"/>
        <item x="61"/>
        <item x="434"/>
        <item x="157"/>
        <item x="198"/>
        <item x="143"/>
        <item x="154"/>
        <item x="189"/>
        <item x="327"/>
        <item x="149"/>
        <item x="194"/>
        <item x="214"/>
        <item x="256"/>
        <item x="222"/>
        <item x="36"/>
        <item x="380"/>
        <item x="246"/>
        <item x="378"/>
        <item x="247"/>
        <item x="223"/>
        <item x="163"/>
        <item x="407"/>
        <item x="265"/>
        <item x="262"/>
        <item x="226"/>
        <item x="158"/>
        <item x="325"/>
        <item x="357"/>
        <item x="18"/>
        <item x="338"/>
        <item x="195"/>
        <item x="393"/>
        <item x="206"/>
        <item x="278"/>
        <item x="53"/>
        <item x="305"/>
        <item x="171"/>
        <item x="348"/>
        <item x="354"/>
        <item x="150"/>
        <item x="210"/>
        <item x="224"/>
        <item x="409"/>
        <item x="311"/>
        <item x="91"/>
        <item x="358"/>
        <item x="351"/>
        <item x="82"/>
        <item x="296"/>
        <item x="286"/>
        <item x="292"/>
        <item x="92"/>
        <item x="353"/>
        <item x="346"/>
        <item x="47"/>
        <item x="240"/>
        <item x="391"/>
        <item x="197"/>
        <item x="129"/>
        <item x="52"/>
        <item x="379"/>
        <item x="81"/>
        <item x="96"/>
        <item x="38"/>
        <item x="435"/>
        <item x="368"/>
        <item x="217"/>
        <item x="253"/>
        <item x="318"/>
        <item x="105"/>
        <item x="132"/>
        <item x="238"/>
        <item x="9"/>
        <item x="236"/>
        <item x="73"/>
        <item x="35"/>
        <item x="113"/>
        <item x="180"/>
        <item x="284"/>
        <item x="3"/>
        <item x="71"/>
        <item x="416"/>
        <item x="315"/>
        <item x="152"/>
        <item x="72"/>
        <item x="406"/>
        <item x="310"/>
        <item x="208"/>
        <item x="367"/>
        <item x="216"/>
        <item x="359"/>
        <item x="426"/>
        <item x="122"/>
        <item x="285"/>
        <item x="13"/>
        <item x="144"/>
        <item x="130"/>
        <item x="207"/>
        <item x="95"/>
        <item x="280"/>
        <item x="269"/>
        <item x="221"/>
        <item x="308"/>
        <item x="29"/>
        <item x="63"/>
        <item x="120"/>
        <item x="299"/>
        <item x="182"/>
        <item x="164"/>
        <item x="103"/>
        <item x="136"/>
        <item x="51"/>
        <item x="67"/>
        <item x="49"/>
        <item x="42"/>
        <item x="43"/>
        <item x="263"/>
        <item x="244"/>
        <item x="411"/>
        <item x="17"/>
        <item x="112"/>
        <item x="1"/>
        <item x="414"/>
        <item x="254"/>
        <item x="83"/>
        <item x="140"/>
        <item x="273"/>
        <item x="242"/>
        <item x="203"/>
        <item x="369"/>
        <item x="191"/>
        <item x="235"/>
        <item x="88"/>
        <item x="54"/>
        <item x="39"/>
        <item x="160"/>
        <item x="266"/>
        <item x="330"/>
        <item x="314"/>
        <item x="396"/>
        <item x="290"/>
        <item x="50"/>
        <item x="268"/>
        <item x="187"/>
        <item x="275"/>
        <item x="37"/>
        <item x="303"/>
        <item x="302"/>
        <item x="350"/>
        <item x="16"/>
        <item x="100"/>
        <item x="124"/>
        <item x="141"/>
        <item x="109"/>
        <item x="151"/>
        <item x="119"/>
        <item x="172"/>
        <item x="289"/>
        <item x="128"/>
        <item x="147"/>
        <item x="387"/>
        <item x="219"/>
        <item x="174"/>
        <item x="421"/>
        <item x="293"/>
        <item x="341"/>
        <item x="131"/>
        <item x="146"/>
        <item x="125"/>
        <item x="56"/>
        <item x="279"/>
        <item x="376"/>
        <item x="317"/>
        <item x="274"/>
        <item x="399"/>
        <item x="59"/>
        <item x="11"/>
        <item x="287"/>
        <item x="205"/>
        <item x="329"/>
        <item x="243"/>
        <item x="316"/>
        <item x="319"/>
        <item x="4"/>
        <item x="375"/>
        <item x="193"/>
        <item x="204"/>
        <item x="55"/>
        <item x="33"/>
        <item x="392"/>
        <item x="175"/>
        <item x="420"/>
        <item x="430"/>
        <item x="45"/>
        <item x="404"/>
        <item x="145"/>
        <item x="307"/>
        <item x="251"/>
        <item x="134"/>
        <item x="153"/>
        <item x="162"/>
        <item x="168"/>
        <item x="84"/>
        <item x="408"/>
        <item x="181"/>
        <item x="343"/>
        <item x="418"/>
        <item x="209"/>
        <item x="166"/>
        <item x="234"/>
        <item x="333"/>
        <item x="417"/>
        <item x="337"/>
        <item x="188"/>
        <item x="127"/>
        <item x="261"/>
        <item x="298"/>
        <item x="89"/>
        <item x="361"/>
        <item x="394"/>
        <item x="14"/>
        <item x="339"/>
        <item x="355"/>
        <item x="76"/>
        <item x="282"/>
        <item x="283"/>
        <item x="345"/>
        <item x="176"/>
        <item x="155"/>
        <item x="12"/>
        <item x="139"/>
        <item x="272"/>
        <item x="32"/>
        <item x="264"/>
        <item x="276"/>
        <item x="24"/>
        <item x="255"/>
        <item x="300"/>
        <item x="395"/>
        <item x="184"/>
        <item x="40"/>
        <item x="237"/>
        <item x="281"/>
        <item x="231"/>
        <item x="70"/>
        <item x="372"/>
        <item x="412"/>
        <item x="2"/>
        <item x="0"/>
        <item x="170"/>
        <item x="159"/>
        <item x="80"/>
        <item x="165"/>
        <item x="436"/>
        <item x="270"/>
        <item x="137"/>
        <item x="360"/>
        <item x="295"/>
        <item x="291"/>
        <item x="199"/>
        <item x="101"/>
        <item x="413"/>
        <item x="347"/>
        <item x="249"/>
        <item x="323"/>
        <item x="8"/>
        <item x="111"/>
        <item x="26"/>
        <item x="309"/>
        <item x="384"/>
        <item x="390"/>
        <item x="373"/>
        <item x="427"/>
        <item x="433"/>
        <item x="7"/>
        <item x="74"/>
        <item x="75"/>
        <item x="400"/>
        <item x="85"/>
        <item x="133"/>
        <item x="123"/>
        <item x="332"/>
        <item x="108"/>
        <item x="212"/>
        <item x="161"/>
        <item x="58"/>
        <item x="364"/>
        <item x="405"/>
        <item x="66"/>
        <item x="114"/>
        <item x="44"/>
        <item x="344"/>
        <item x="87"/>
        <item x="403"/>
        <item x="30"/>
        <item x="328"/>
        <item x="177"/>
        <item x="116"/>
        <item x="277"/>
        <item x="432"/>
        <item x="259"/>
        <item x="185"/>
        <item x="79"/>
        <item x="377"/>
        <item x="65"/>
        <item x="294"/>
        <item x="431"/>
        <item x="419"/>
        <item x="388"/>
        <item x="28"/>
        <item x="336"/>
        <item x="218"/>
        <item x="402"/>
        <item x="94"/>
        <item x="115"/>
        <item x="220"/>
        <item x="401"/>
        <item x="352"/>
        <item x="386"/>
        <item x="371"/>
        <item x="365"/>
        <item x="68"/>
        <item x="382"/>
        <item x="64"/>
        <item x="363"/>
        <item x="422"/>
        <item x="228"/>
        <item x="258"/>
        <item x="78"/>
        <item x="342"/>
        <item x="46"/>
        <item x="215"/>
        <item x="239"/>
        <item x="86"/>
        <item x="148"/>
        <item x="167"/>
        <item x="385"/>
        <item x="97"/>
        <item x="196"/>
        <item x="19"/>
        <item x="370"/>
        <item x="179"/>
        <item x="230"/>
        <item x="321"/>
        <item x="117"/>
        <item x="34"/>
        <item x="200"/>
        <item x="24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3"/>
    <field x="7"/>
  </rowFields>
  <rowItems count="26">
    <i>
      <x/>
    </i>
    <i r="1">
      <x/>
    </i>
    <i r="1">
      <x v="1"/>
    </i>
    <i r="1">
      <x v="2"/>
    </i>
    <i>
      <x v="1"/>
    </i>
    <i r="1">
      <x/>
    </i>
    <i r="1">
      <x v="1"/>
    </i>
    <i r="1">
      <x v="2"/>
    </i>
    <i>
      <x v="2"/>
    </i>
    <i r="1">
      <x/>
    </i>
    <i r="1">
      <x v="1"/>
    </i>
    <i r="1">
      <x v="2"/>
    </i>
    <i>
      <x v="3"/>
    </i>
    <i r="1">
      <x/>
    </i>
    <i r="1">
      <x v="2"/>
    </i>
    <i>
      <x v="4"/>
    </i>
    <i r="1">
      <x/>
    </i>
    <i r="1">
      <x v="2"/>
    </i>
    <i>
      <x v="5"/>
    </i>
    <i r="1">
      <x/>
    </i>
    <i r="1">
      <x v="2"/>
    </i>
    <i>
      <x v="6"/>
    </i>
    <i r="1">
      <x/>
    </i>
    <i r="1">
      <x v="1"/>
    </i>
    <i r="1">
      <x v="2"/>
    </i>
    <i t="grand">
      <x/>
    </i>
  </rowItems>
  <colItems count="1">
    <i/>
  </colItems>
  <dataFields count="1">
    <dataField name="Sum of Total_Sales" fld="8" showDataAs="percentOfTotal" baseField="7" baseItem="1" numFmtId="10"/>
  </dataFields>
  <formats count="2">
    <format dxfId="3">
      <pivotArea outline="0" collapsedLevelsAreSubtotals="1" fieldPosition="0"/>
    </format>
    <format dxfId="2">
      <pivotArea outline="0" fieldPosition="0">
        <references count="1">
          <reference field="4294967294" count="1">
            <x v="0"/>
          </reference>
        </references>
      </pivotArea>
    </format>
  </formats>
  <chartFormats count="1">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C59D71-8313-4D20-9A14-77C43ABFC721}" name="PivotTable5"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5">
  <location ref="F56:G60" firstHeaderRow="1" firstDataRow="1" firstDataCol="1"/>
  <pivotFields count="11">
    <pivotField multipleItemSelectionAllowed="1" showAll="0">
      <items count="4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t="default"/>
      </items>
    </pivotField>
    <pivotField numFmtId="164" showAll="0">
      <items count="265">
        <item x="244"/>
        <item x="57"/>
        <item x="196"/>
        <item x="107"/>
        <item x="200"/>
        <item x="84"/>
        <item x="261"/>
        <item x="122"/>
        <item x="45"/>
        <item x="80"/>
        <item x="262"/>
        <item x="197"/>
        <item x="206"/>
        <item x="224"/>
        <item x="6"/>
        <item x="23"/>
        <item x="259"/>
        <item x="219"/>
        <item x="193"/>
        <item x="92"/>
        <item x="120"/>
        <item x="96"/>
        <item x="53"/>
        <item x="121"/>
        <item x="179"/>
        <item x="190"/>
        <item x="169"/>
        <item x="78"/>
        <item x="64"/>
        <item x="129"/>
        <item x="199"/>
        <item x="236"/>
        <item x="97"/>
        <item x="27"/>
        <item x="56"/>
        <item x="32"/>
        <item x="115"/>
        <item x="49"/>
        <item x="58"/>
        <item x="34"/>
        <item x="209"/>
        <item x="176"/>
        <item x="98"/>
        <item x="86"/>
        <item x="82"/>
        <item x="128"/>
        <item x="186"/>
        <item x="254"/>
        <item x="4"/>
        <item x="181"/>
        <item x="250"/>
        <item x="55"/>
        <item x="126"/>
        <item x="10"/>
        <item x="43"/>
        <item x="51"/>
        <item x="255"/>
        <item x="203"/>
        <item x="116"/>
        <item x="162"/>
        <item x="159"/>
        <item x="101"/>
        <item x="11"/>
        <item x="105"/>
        <item x="0"/>
        <item x="182"/>
        <item x="59"/>
        <item x="3"/>
        <item x="232"/>
        <item x="175"/>
        <item x="146"/>
        <item x="211"/>
        <item x="136"/>
        <item x="247"/>
        <item x="180"/>
        <item x="135"/>
        <item x="7"/>
        <item x="157"/>
        <item x="163"/>
        <item x="230"/>
        <item x="152"/>
        <item x="214"/>
        <item x="132"/>
        <item x="170"/>
        <item x="148"/>
        <item x="37"/>
        <item x="130"/>
        <item x="39"/>
        <item x="85"/>
        <item x="140"/>
        <item x="87"/>
        <item x="178"/>
        <item x="226"/>
        <item x="118"/>
        <item x="161"/>
        <item x="239"/>
        <item x="166"/>
        <item x="165"/>
        <item x="14"/>
        <item x="172"/>
        <item x="13"/>
        <item x="183"/>
        <item x="251"/>
        <item x="215"/>
        <item x="79"/>
        <item x="198"/>
        <item x="123"/>
        <item x="21"/>
        <item x="65"/>
        <item x="88"/>
        <item x="142"/>
        <item x="41"/>
        <item x="185"/>
        <item x="28"/>
        <item x="119"/>
        <item x="102"/>
        <item x="223"/>
        <item x="210"/>
        <item x="31"/>
        <item x="188"/>
        <item x="112"/>
        <item x="145"/>
        <item x="202"/>
        <item x="156"/>
        <item x="252"/>
        <item x="229"/>
        <item x="124"/>
        <item x="29"/>
        <item x="5"/>
        <item x="30"/>
        <item x="62"/>
        <item x="19"/>
        <item x="184"/>
        <item x="187"/>
        <item x="233"/>
        <item x="139"/>
        <item x="167"/>
        <item x="93"/>
        <item x="66"/>
        <item x="155"/>
        <item x="256"/>
        <item x="54"/>
        <item x="111"/>
        <item x="73"/>
        <item x="72"/>
        <item x="103"/>
        <item x="8"/>
        <item x="99"/>
        <item x="77"/>
        <item x="63"/>
        <item x="149"/>
        <item x="117"/>
        <item x="208"/>
        <item x="151"/>
        <item x="134"/>
        <item x="194"/>
        <item x="104"/>
        <item x="242"/>
        <item x="191"/>
        <item x="91"/>
        <item x="137"/>
        <item x="143"/>
        <item x="25"/>
        <item x="74"/>
        <item x="189"/>
        <item x="245"/>
        <item x="160"/>
        <item x="114"/>
        <item x="46"/>
        <item x="125"/>
        <item x="35"/>
        <item x="218"/>
        <item x="153"/>
        <item x="260"/>
        <item x="70"/>
        <item x="24"/>
        <item x="177"/>
        <item x="108"/>
        <item x="204"/>
        <item x="106"/>
        <item x="16"/>
        <item x="138"/>
        <item x="60"/>
        <item x="90"/>
        <item x="234"/>
        <item x="174"/>
        <item x="52"/>
        <item x="47"/>
        <item x="171"/>
        <item x="95"/>
        <item x="238"/>
        <item x="67"/>
        <item x="2"/>
        <item x="248"/>
        <item x="216"/>
        <item x="42"/>
        <item x="241"/>
        <item x="20"/>
        <item x="249"/>
        <item x="243"/>
        <item x="76"/>
        <item x="207"/>
        <item x="110"/>
        <item x="127"/>
        <item x="253"/>
        <item x="131"/>
        <item x="212"/>
        <item x="89"/>
        <item x="246"/>
        <item x="100"/>
        <item x="18"/>
        <item x="147"/>
        <item x="71"/>
        <item x="173"/>
        <item x="217"/>
        <item x="81"/>
        <item x="201"/>
        <item x="69"/>
        <item x="231"/>
        <item x="221"/>
        <item x="38"/>
        <item x="168"/>
        <item x="15"/>
        <item x="61"/>
        <item x="237"/>
        <item x="222"/>
        <item x="22"/>
        <item x="144"/>
        <item x="44"/>
        <item x="195"/>
        <item x="141"/>
        <item x="240"/>
        <item x="36"/>
        <item x="225"/>
        <item x="228"/>
        <item x="205"/>
        <item x="154"/>
        <item x="158"/>
        <item x="164"/>
        <item x="83"/>
        <item x="94"/>
        <item x="40"/>
        <item x="9"/>
        <item x="263"/>
        <item x="75"/>
        <item x="50"/>
        <item x="257"/>
        <item x="213"/>
        <item x="150"/>
        <item x="17"/>
        <item x="26"/>
        <item x="48"/>
        <item x="133"/>
        <item x="1"/>
        <item x="235"/>
        <item x="68"/>
        <item x="113"/>
        <item x="227"/>
        <item x="220"/>
        <item x="258"/>
        <item x="109"/>
        <item x="12"/>
        <item x="33"/>
        <item x="192"/>
        <item t="default"/>
      </items>
    </pivotField>
    <pivotField showAll="0">
      <items count="80">
        <item x="63"/>
        <item x="25"/>
        <item x="74"/>
        <item x="3"/>
        <item x="15"/>
        <item x="50"/>
        <item x="70"/>
        <item x="43"/>
        <item x="34"/>
        <item x="52"/>
        <item x="36"/>
        <item x="0"/>
        <item x="61"/>
        <item x="24"/>
        <item x="76"/>
        <item x="29"/>
        <item x="2"/>
        <item x="45"/>
        <item x="18"/>
        <item x="54"/>
        <item x="40"/>
        <item x="14"/>
        <item x="64"/>
        <item x="33"/>
        <item x="59"/>
        <item x="1"/>
        <item x="6"/>
        <item x="19"/>
        <item x="5"/>
        <item x="23"/>
        <item x="31"/>
        <item x="55"/>
        <item x="48"/>
        <item x="57"/>
        <item x="53"/>
        <item x="72"/>
        <item x="49"/>
        <item x="9"/>
        <item x="13"/>
        <item x="56"/>
        <item x="16"/>
        <item x="69"/>
        <item x="77"/>
        <item x="28"/>
        <item x="51"/>
        <item x="4"/>
        <item x="8"/>
        <item x="42"/>
        <item x="46"/>
        <item x="60"/>
        <item x="32"/>
        <item x="67"/>
        <item x="47"/>
        <item x="21"/>
        <item x="35"/>
        <item x="68"/>
        <item x="71"/>
        <item x="7"/>
        <item x="30"/>
        <item x="66"/>
        <item x="27"/>
        <item x="11"/>
        <item x="73"/>
        <item x="10"/>
        <item x="78"/>
        <item x="44"/>
        <item x="20"/>
        <item x="58"/>
        <item x="39"/>
        <item x="62"/>
        <item x="26"/>
        <item x="12"/>
        <item x="22"/>
        <item x="37"/>
        <item x="65"/>
        <item x="41"/>
        <item x="75"/>
        <item x="17"/>
        <item x="38"/>
        <item t="default"/>
      </items>
    </pivotField>
    <pivotField showAll="0">
      <items count="8">
        <item x="5"/>
        <item x="0"/>
        <item x="3"/>
        <item x="2"/>
        <item x="6"/>
        <item x="1"/>
        <item x="4"/>
        <item t="default"/>
      </items>
    </pivotField>
    <pivotField showAll="0"/>
    <pivotField showAll="0">
      <items count="10">
        <item x="6"/>
        <item x="3"/>
        <item x="2"/>
        <item x="1"/>
        <item x="8"/>
        <item x="0"/>
        <item x="5"/>
        <item x="7"/>
        <item x="4"/>
        <item t="default"/>
      </items>
    </pivotField>
    <pivotField showAll="0"/>
    <pivotField axis="axisRow" showAll="0">
      <items count="4">
        <item x="1"/>
        <item x="2"/>
        <item x="0"/>
        <item t="default"/>
      </items>
    </pivotField>
    <pivotField dataField="1" showAll="0">
      <items count="440">
        <item x="340"/>
        <item x="423"/>
        <item x="271"/>
        <item x="381"/>
        <item x="90"/>
        <item x="77"/>
        <item x="415"/>
        <item x="320"/>
        <item x="437"/>
        <item x="22"/>
        <item x="397"/>
        <item x="110"/>
        <item x="138"/>
        <item x="156"/>
        <item x="15"/>
        <item x="186"/>
        <item x="324"/>
        <item x="232"/>
        <item x="178"/>
        <item x="10"/>
        <item x="69"/>
        <item x="107"/>
        <item x="306"/>
        <item x="334"/>
        <item x="304"/>
        <item x="104"/>
        <item x="211"/>
        <item x="425"/>
        <item x="267"/>
        <item x="233"/>
        <item x="326"/>
        <item x="169"/>
        <item x="142"/>
        <item x="322"/>
        <item x="335"/>
        <item x="201"/>
        <item x="20"/>
        <item x="362"/>
        <item x="135"/>
        <item x="62"/>
        <item x="349"/>
        <item x="126"/>
        <item x="21"/>
        <item x="288"/>
        <item x="192"/>
        <item x="257"/>
        <item x="297"/>
        <item x="106"/>
        <item x="227"/>
        <item x="6"/>
        <item x="118"/>
        <item x="31"/>
        <item x="60"/>
        <item x="398"/>
        <item x="250"/>
        <item x="331"/>
        <item x="41"/>
        <item x="225"/>
        <item x="383"/>
        <item x="98"/>
        <item x="93"/>
        <item x="374"/>
        <item x="121"/>
        <item x="241"/>
        <item x="213"/>
        <item x="248"/>
        <item x="260"/>
        <item x="190"/>
        <item x="424"/>
        <item x="229"/>
        <item x="25"/>
        <item x="366"/>
        <item x="252"/>
        <item x="410"/>
        <item x="312"/>
        <item x="5"/>
        <item x="313"/>
        <item x="438"/>
        <item x="202"/>
        <item x="389"/>
        <item x="102"/>
        <item x="99"/>
        <item x="27"/>
        <item x="428"/>
        <item x="183"/>
        <item x="48"/>
        <item x="301"/>
        <item x="173"/>
        <item x="429"/>
        <item x="57"/>
        <item x="356"/>
        <item x="23"/>
        <item x="61"/>
        <item x="434"/>
        <item x="157"/>
        <item x="198"/>
        <item x="143"/>
        <item x="154"/>
        <item x="189"/>
        <item x="327"/>
        <item x="149"/>
        <item x="194"/>
        <item x="214"/>
        <item x="256"/>
        <item x="222"/>
        <item x="36"/>
        <item x="380"/>
        <item x="246"/>
        <item x="378"/>
        <item x="247"/>
        <item x="223"/>
        <item x="163"/>
        <item x="407"/>
        <item x="265"/>
        <item x="262"/>
        <item x="226"/>
        <item x="158"/>
        <item x="325"/>
        <item x="357"/>
        <item x="18"/>
        <item x="338"/>
        <item x="195"/>
        <item x="393"/>
        <item x="206"/>
        <item x="278"/>
        <item x="53"/>
        <item x="305"/>
        <item x="171"/>
        <item x="348"/>
        <item x="354"/>
        <item x="150"/>
        <item x="210"/>
        <item x="224"/>
        <item x="409"/>
        <item x="311"/>
        <item x="91"/>
        <item x="358"/>
        <item x="351"/>
        <item x="82"/>
        <item x="296"/>
        <item x="286"/>
        <item x="292"/>
        <item x="92"/>
        <item x="353"/>
        <item x="346"/>
        <item x="47"/>
        <item x="240"/>
        <item x="391"/>
        <item x="197"/>
        <item x="129"/>
        <item x="52"/>
        <item x="379"/>
        <item x="81"/>
        <item x="96"/>
        <item x="38"/>
        <item x="435"/>
        <item x="368"/>
        <item x="217"/>
        <item x="253"/>
        <item x="318"/>
        <item x="105"/>
        <item x="132"/>
        <item x="238"/>
        <item x="9"/>
        <item x="236"/>
        <item x="73"/>
        <item x="35"/>
        <item x="113"/>
        <item x="180"/>
        <item x="284"/>
        <item x="3"/>
        <item x="71"/>
        <item x="416"/>
        <item x="315"/>
        <item x="152"/>
        <item x="72"/>
        <item x="406"/>
        <item x="310"/>
        <item x="208"/>
        <item x="367"/>
        <item x="216"/>
        <item x="359"/>
        <item x="426"/>
        <item x="122"/>
        <item x="285"/>
        <item x="13"/>
        <item x="144"/>
        <item x="130"/>
        <item x="207"/>
        <item x="95"/>
        <item x="280"/>
        <item x="269"/>
        <item x="221"/>
        <item x="308"/>
        <item x="29"/>
        <item x="63"/>
        <item x="120"/>
        <item x="299"/>
        <item x="182"/>
        <item x="164"/>
        <item x="103"/>
        <item x="136"/>
        <item x="51"/>
        <item x="67"/>
        <item x="49"/>
        <item x="42"/>
        <item x="43"/>
        <item x="263"/>
        <item x="244"/>
        <item x="411"/>
        <item x="17"/>
        <item x="112"/>
        <item x="1"/>
        <item x="414"/>
        <item x="254"/>
        <item x="83"/>
        <item x="140"/>
        <item x="273"/>
        <item x="242"/>
        <item x="203"/>
        <item x="369"/>
        <item x="191"/>
        <item x="235"/>
        <item x="88"/>
        <item x="54"/>
        <item x="39"/>
        <item x="160"/>
        <item x="266"/>
        <item x="330"/>
        <item x="314"/>
        <item x="396"/>
        <item x="290"/>
        <item x="50"/>
        <item x="268"/>
        <item x="187"/>
        <item x="275"/>
        <item x="37"/>
        <item x="303"/>
        <item x="302"/>
        <item x="350"/>
        <item x="16"/>
        <item x="100"/>
        <item x="124"/>
        <item x="141"/>
        <item x="109"/>
        <item x="151"/>
        <item x="119"/>
        <item x="172"/>
        <item x="289"/>
        <item x="128"/>
        <item x="147"/>
        <item x="387"/>
        <item x="219"/>
        <item x="174"/>
        <item x="421"/>
        <item x="293"/>
        <item x="341"/>
        <item x="131"/>
        <item x="146"/>
        <item x="125"/>
        <item x="56"/>
        <item x="279"/>
        <item x="376"/>
        <item x="317"/>
        <item x="274"/>
        <item x="399"/>
        <item x="59"/>
        <item x="11"/>
        <item x="287"/>
        <item x="205"/>
        <item x="329"/>
        <item x="243"/>
        <item x="316"/>
        <item x="319"/>
        <item x="4"/>
        <item x="375"/>
        <item x="193"/>
        <item x="204"/>
        <item x="55"/>
        <item x="33"/>
        <item x="392"/>
        <item x="175"/>
        <item x="420"/>
        <item x="430"/>
        <item x="45"/>
        <item x="404"/>
        <item x="145"/>
        <item x="307"/>
        <item x="251"/>
        <item x="134"/>
        <item x="153"/>
        <item x="162"/>
        <item x="168"/>
        <item x="84"/>
        <item x="408"/>
        <item x="181"/>
        <item x="343"/>
        <item x="418"/>
        <item x="209"/>
        <item x="166"/>
        <item x="234"/>
        <item x="333"/>
        <item x="417"/>
        <item x="337"/>
        <item x="188"/>
        <item x="127"/>
        <item x="261"/>
        <item x="298"/>
        <item x="89"/>
        <item x="361"/>
        <item x="394"/>
        <item x="14"/>
        <item x="339"/>
        <item x="355"/>
        <item x="76"/>
        <item x="282"/>
        <item x="283"/>
        <item x="345"/>
        <item x="176"/>
        <item x="155"/>
        <item x="12"/>
        <item x="139"/>
        <item x="272"/>
        <item x="32"/>
        <item x="264"/>
        <item x="276"/>
        <item x="24"/>
        <item x="255"/>
        <item x="300"/>
        <item x="395"/>
        <item x="184"/>
        <item x="40"/>
        <item x="237"/>
        <item x="281"/>
        <item x="231"/>
        <item x="70"/>
        <item x="372"/>
        <item x="412"/>
        <item x="2"/>
        <item x="0"/>
        <item x="170"/>
        <item x="159"/>
        <item x="80"/>
        <item x="165"/>
        <item x="436"/>
        <item x="270"/>
        <item x="137"/>
        <item x="360"/>
        <item x="295"/>
        <item x="291"/>
        <item x="199"/>
        <item x="101"/>
        <item x="413"/>
        <item x="347"/>
        <item x="249"/>
        <item x="323"/>
        <item x="8"/>
        <item x="111"/>
        <item x="26"/>
        <item x="309"/>
        <item x="384"/>
        <item x="390"/>
        <item x="373"/>
        <item x="427"/>
        <item x="433"/>
        <item x="7"/>
        <item x="74"/>
        <item x="75"/>
        <item x="400"/>
        <item x="85"/>
        <item x="133"/>
        <item x="123"/>
        <item x="332"/>
        <item x="108"/>
        <item x="212"/>
        <item x="161"/>
        <item x="58"/>
        <item x="364"/>
        <item x="405"/>
        <item x="66"/>
        <item x="114"/>
        <item x="44"/>
        <item x="344"/>
        <item x="87"/>
        <item x="403"/>
        <item x="30"/>
        <item x="328"/>
        <item x="177"/>
        <item x="116"/>
        <item x="277"/>
        <item x="432"/>
        <item x="259"/>
        <item x="185"/>
        <item x="79"/>
        <item x="377"/>
        <item x="65"/>
        <item x="294"/>
        <item x="431"/>
        <item x="419"/>
        <item x="388"/>
        <item x="28"/>
        <item x="336"/>
        <item x="218"/>
        <item x="402"/>
        <item x="94"/>
        <item x="115"/>
        <item x="220"/>
        <item x="401"/>
        <item x="352"/>
        <item x="386"/>
        <item x="371"/>
        <item x="365"/>
        <item x="68"/>
        <item x="382"/>
        <item x="64"/>
        <item x="363"/>
        <item x="422"/>
        <item x="228"/>
        <item x="258"/>
        <item x="78"/>
        <item x="342"/>
        <item x="46"/>
        <item x="215"/>
        <item x="239"/>
        <item x="86"/>
        <item x="148"/>
        <item x="167"/>
        <item x="385"/>
        <item x="97"/>
        <item x="196"/>
        <item x="19"/>
        <item x="370"/>
        <item x="179"/>
        <item x="230"/>
        <item x="321"/>
        <item x="117"/>
        <item x="34"/>
        <item x="200"/>
        <item x="24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4">
    <i>
      <x/>
    </i>
    <i>
      <x v="1"/>
    </i>
    <i>
      <x v="2"/>
    </i>
    <i t="grand">
      <x/>
    </i>
  </rowItems>
  <colItems count="1">
    <i/>
  </colItems>
  <dataFields count="1">
    <dataField name="Sum of Total_Sales" fld="8" baseField="7" baseItem="0" numFmtId="167"/>
  </dataFields>
  <formats count="1">
    <format dxfId="4">
      <pivotArea outline="0" collapsedLevelsAreSubtotals="1" fieldPosition="0"/>
    </format>
  </formats>
  <chartFormats count="3">
    <chartFormat chart="22"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BA63EF-0679-49A2-A366-591A3D68E243}" name="PivotTable9"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2">
  <location ref="S134:W147" firstHeaderRow="1" firstDataRow="3" firstDataCol="1"/>
  <pivotFields count="11">
    <pivotField multipleItemSelectionAllowed="1" showAll="0">
      <items count="4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t="default"/>
      </items>
    </pivotField>
    <pivotField numFmtId="164" showAll="0">
      <items count="265">
        <item x="244"/>
        <item x="57"/>
        <item x="196"/>
        <item x="107"/>
        <item x="200"/>
        <item x="84"/>
        <item x="261"/>
        <item x="122"/>
        <item x="45"/>
        <item x="80"/>
        <item x="262"/>
        <item x="197"/>
        <item x="206"/>
        <item x="224"/>
        <item x="6"/>
        <item x="23"/>
        <item x="259"/>
        <item x="219"/>
        <item x="193"/>
        <item x="92"/>
        <item x="120"/>
        <item x="96"/>
        <item x="53"/>
        <item x="121"/>
        <item x="179"/>
        <item x="190"/>
        <item x="169"/>
        <item x="78"/>
        <item x="64"/>
        <item x="129"/>
        <item x="199"/>
        <item x="236"/>
        <item x="97"/>
        <item x="27"/>
        <item x="56"/>
        <item x="32"/>
        <item x="115"/>
        <item x="49"/>
        <item x="58"/>
        <item x="34"/>
        <item x="209"/>
        <item x="176"/>
        <item x="98"/>
        <item x="86"/>
        <item x="82"/>
        <item x="128"/>
        <item x="186"/>
        <item x="254"/>
        <item x="4"/>
        <item x="181"/>
        <item x="250"/>
        <item x="55"/>
        <item x="126"/>
        <item x="10"/>
        <item x="43"/>
        <item x="51"/>
        <item x="255"/>
        <item x="203"/>
        <item x="116"/>
        <item x="162"/>
        <item x="159"/>
        <item x="101"/>
        <item x="11"/>
        <item x="105"/>
        <item x="0"/>
        <item x="182"/>
        <item x="59"/>
        <item x="3"/>
        <item x="232"/>
        <item x="175"/>
        <item x="146"/>
        <item x="211"/>
        <item x="136"/>
        <item x="247"/>
        <item x="180"/>
        <item x="135"/>
        <item x="7"/>
        <item x="157"/>
        <item x="163"/>
        <item x="230"/>
        <item x="152"/>
        <item x="214"/>
        <item x="132"/>
        <item x="170"/>
        <item x="148"/>
        <item x="37"/>
        <item x="130"/>
        <item x="39"/>
        <item x="85"/>
        <item x="140"/>
        <item x="87"/>
        <item x="178"/>
        <item x="226"/>
        <item x="118"/>
        <item x="161"/>
        <item x="239"/>
        <item x="166"/>
        <item x="165"/>
        <item x="14"/>
        <item x="172"/>
        <item x="13"/>
        <item x="183"/>
        <item x="251"/>
        <item x="215"/>
        <item x="79"/>
        <item x="198"/>
        <item x="123"/>
        <item x="21"/>
        <item x="65"/>
        <item x="88"/>
        <item x="142"/>
        <item x="41"/>
        <item x="185"/>
        <item x="28"/>
        <item x="119"/>
        <item x="102"/>
        <item x="223"/>
        <item x="210"/>
        <item x="31"/>
        <item x="188"/>
        <item x="112"/>
        <item x="145"/>
        <item x="202"/>
        <item x="156"/>
        <item x="252"/>
        <item x="229"/>
        <item x="124"/>
        <item x="29"/>
        <item x="5"/>
        <item x="30"/>
        <item x="62"/>
        <item x="19"/>
        <item x="184"/>
        <item x="187"/>
        <item x="233"/>
        <item x="139"/>
        <item x="167"/>
        <item x="93"/>
        <item x="66"/>
        <item x="155"/>
        <item x="256"/>
        <item x="54"/>
        <item x="111"/>
        <item x="73"/>
        <item x="72"/>
        <item x="103"/>
        <item x="8"/>
        <item x="99"/>
        <item x="77"/>
        <item x="63"/>
        <item x="149"/>
        <item x="117"/>
        <item x="208"/>
        <item x="151"/>
        <item x="134"/>
        <item x="194"/>
        <item x="104"/>
        <item x="242"/>
        <item x="191"/>
        <item x="91"/>
        <item x="137"/>
        <item x="143"/>
        <item x="25"/>
        <item x="74"/>
        <item x="189"/>
        <item x="245"/>
        <item x="160"/>
        <item x="114"/>
        <item x="46"/>
        <item x="125"/>
        <item x="35"/>
        <item x="218"/>
        <item x="153"/>
        <item x="260"/>
        <item x="70"/>
        <item x="24"/>
        <item x="177"/>
        <item x="108"/>
        <item x="204"/>
        <item x="106"/>
        <item x="16"/>
        <item x="138"/>
        <item x="60"/>
        <item x="90"/>
        <item x="234"/>
        <item x="174"/>
        <item x="52"/>
        <item x="47"/>
        <item x="171"/>
        <item x="95"/>
        <item x="238"/>
        <item x="67"/>
        <item x="2"/>
        <item x="248"/>
        <item x="216"/>
        <item x="42"/>
        <item x="241"/>
        <item x="20"/>
        <item x="249"/>
        <item x="243"/>
        <item x="76"/>
        <item x="207"/>
        <item x="110"/>
        <item x="127"/>
        <item x="253"/>
        <item x="131"/>
        <item x="212"/>
        <item x="89"/>
        <item x="246"/>
        <item x="100"/>
        <item x="18"/>
        <item x="147"/>
        <item x="71"/>
        <item x="173"/>
        <item x="217"/>
        <item x="81"/>
        <item x="201"/>
        <item x="69"/>
        <item x="231"/>
        <item x="221"/>
        <item x="38"/>
        <item x="168"/>
        <item x="15"/>
        <item x="61"/>
        <item x="237"/>
        <item x="222"/>
        <item x="22"/>
        <item x="144"/>
        <item x="44"/>
        <item x="195"/>
        <item x="141"/>
        <item x="240"/>
        <item x="36"/>
        <item x="225"/>
        <item x="228"/>
        <item x="205"/>
        <item x="154"/>
        <item x="158"/>
        <item x="164"/>
        <item x="83"/>
        <item x="94"/>
        <item x="40"/>
        <item x="9"/>
        <item x="263"/>
        <item x="75"/>
        <item x="50"/>
        <item x="257"/>
        <item x="213"/>
        <item x="150"/>
        <item x="17"/>
        <item x="26"/>
        <item x="48"/>
        <item x="133"/>
        <item x="1"/>
        <item x="235"/>
        <item x="68"/>
        <item x="113"/>
        <item x="227"/>
        <item x="220"/>
        <item x="258"/>
        <item x="109"/>
        <item x="12"/>
        <item x="33"/>
        <item x="192"/>
        <item t="default"/>
      </items>
    </pivotField>
    <pivotField axis="axisRow" showAll="0" measureFilter="1" sortType="descending">
      <items count="80">
        <item x="63"/>
        <item x="25"/>
        <item x="74"/>
        <item x="3"/>
        <item x="15"/>
        <item x="50"/>
        <item x="70"/>
        <item x="43"/>
        <item x="34"/>
        <item x="52"/>
        <item x="36"/>
        <item x="0"/>
        <item x="61"/>
        <item x="24"/>
        <item x="76"/>
        <item x="29"/>
        <item x="2"/>
        <item x="45"/>
        <item x="18"/>
        <item x="54"/>
        <item x="40"/>
        <item x="14"/>
        <item x="64"/>
        <item x="33"/>
        <item x="59"/>
        <item x="1"/>
        <item x="6"/>
        <item x="19"/>
        <item x="5"/>
        <item x="23"/>
        <item x="31"/>
        <item x="55"/>
        <item x="48"/>
        <item x="57"/>
        <item x="53"/>
        <item x="72"/>
        <item x="49"/>
        <item x="9"/>
        <item x="13"/>
        <item x="56"/>
        <item x="16"/>
        <item x="69"/>
        <item x="77"/>
        <item x="28"/>
        <item x="51"/>
        <item x="4"/>
        <item x="8"/>
        <item x="42"/>
        <item x="46"/>
        <item x="60"/>
        <item x="32"/>
        <item x="67"/>
        <item x="47"/>
        <item x="21"/>
        <item x="35"/>
        <item x="68"/>
        <item x="71"/>
        <item x="7"/>
        <item x="30"/>
        <item x="66"/>
        <item x="27"/>
        <item x="11"/>
        <item x="73"/>
        <item x="10"/>
        <item x="78"/>
        <item x="44"/>
        <item x="20"/>
        <item x="58"/>
        <item x="39"/>
        <item x="62"/>
        <item x="26"/>
        <item x="12"/>
        <item x="22"/>
        <item x="37"/>
        <item x="65"/>
        <item x="41"/>
        <item x="75"/>
        <item x="17"/>
        <item x="38"/>
        <item t="default"/>
      </items>
      <autoSortScope>
        <pivotArea dataOnly="0" outline="0" fieldPosition="0">
          <references count="1">
            <reference field="4294967294" count="1" selected="0">
              <x v="0"/>
            </reference>
          </references>
        </pivotArea>
      </autoSortScope>
    </pivotField>
    <pivotField showAll="0">
      <items count="8">
        <item x="5"/>
        <item x="0"/>
        <item x="3"/>
        <item x="2"/>
        <item x="6"/>
        <item x="1"/>
        <item x="4"/>
        <item t="default"/>
      </items>
    </pivotField>
    <pivotField showAll="0"/>
    <pivotField dataField="1" showAll="0" includeNewItemsInFilter="1" countASubtotal="1">
      <items count="10">
        <item x="6"/>
        <item x="3"/>
        <item x="2"/>
        <item x="1"/>
        <item x="8"/>
        <item x="0"/>
        <item x="5"/>
        <item x="7"/>
        <item x="4"/>
        <item t="countA"/>
      </items>
    </pivotField>
    <pivotField showAll="0"/>
    <pivotField axis="axisCol" showAll="0">
      <items count="4">
        <item x="1"/>
        <item h="1" x="2"/>
        <item x="0"/>
        <item t="default"/>
      </items>
    </pivotField>
    <pivotField dataField="1" showAll="0">
      <items count="440">
        <item x="340"/>
        <item x="423"/>
        <item x="271"/>
        <item x="381"/>
        <item x="90"/>
        <item x="77"/>
        <item x="415"/>
        <item x="320"/>
        <item x="437"/>
        <item x="22"/>
        <item x="397"/>
        <item x="110"/>
        <item x="138"/>
        <item x="156"/>
        <item x="15"/>
        <item x="186"/>
        <item x="324"/>
        <item x="232"/>
        <item x="178"/>
        <item x="10"/>
        <item x="69"/>
        <item x="107"/>
        <item x="306"/>
        <item x="334"/>
        <item x="304"/>
        <item x="104"/>
        <item x="211"/>
        <item x="425"/>
        <item x="267"/>
        <item x="233"/>
        <item x="326"/>
        <item x="169"/>
        <item x="142"/>
        <item x="322"/>
        <item x="335"/>
        <item x="201"/>
        <item x="20"/>
        <item x="362"/>
        <item x="135"/>
        <item x="62"/>
        <item x="349"/>
        <item x="126"/>
        <item x="21"/>
        <item x="288"/>
        <item x="192"/>
        <item x="257"/>
        <item x="297"/>
        <item x="106"/>
        <item x="227"/>
        <item x="6"/>
        <item x="118"/>
        <item x="31"/>
        <item x="60"/>
        <item x="398"/>
        <item x="250"/>
        <item x="331"/>
        <item x="41"/>
        <item x="225"/>
        <item x="383"/>
        <item x="98"/>
        <item x="93"/>
        <item x="374"/>
        <item x="121"/>
        <item x="241"/>
        <item x="213"/>
        <item x="248"/>
        <item x="260"/>
        <item x="190"/>
        <item x="424"/>
        <item x="229"/>
        <item x="25"/>
        <item x="366"/>
        <item x="252"/>
        <item x="410"/>
        <item x="312"/>
        <item x="5"/>
        <item x="313"/>
        <item x="438"/>
        <item x="202"/>
        <item x="389"/>
        <item x="102"/>
        <item x="99"/>
        <item x="27"/>
        <item x="428"/>
        <item x="183"/>
        <item x="48"/>
        <item x="301"/>
        <item x="173"/>
        <item x="429"/>
        <item x="57"/>
        <item x="356"/>
        <item x="23"/>
        <item x="61"/>
        <item x="434"/>
        <item x="157"/>
        <item x="198"/>
        <item x="143"/>
        <item x="154"/>
        <item x="189"/>
        <item x="327"/>
        <item x="149"/>
        <item x="194"/>
        <item x="214"/>
        <item x="256"/>
        <item x="222"/>
        <item x="36"/>
        <item x="380"/>
        <item x="246"/>
        <item x="378"/>
        <item x="247"/>
        <item x="223"/>
        <item x="163"/>
        <item x="407"/>
        <item x="265"/>
        <item x="262"/>
        <item x="226"/>
        <item x="158"/>
        <item x="325"/>
        <item x="357"/>
        <item x="18"/>
        <item x="338"/>
        <item x="195"/>
        <item x="393"/>
        <item x="206"/>
        <item x="278"/>
        <item x="53"/>
        <item x="305"/>
        <item x="171"/>
        <item x="348"/>
        <item x="354"/>
        <item x="150"/>
        <item x="210"/>
        <item x="224"/>
        <item x="409"/>
        <item x="311"/>
        <item x="91"/>
        <item x="358"/>
        <item x="351"/>
        <item x="82"/>
        <item x="296"/>
        <item x="286"/>
        <item x="292"/>
        <item x="92"/>
        <item x="353"/>
        <item x="346"/>
        <item x="47"/>
        <item x="240"/>
        <item x="391"/>
        <item x="197"/>
        <item x="129"/>
        <item x="52"/>
        <item x="379"/>
        <item x="81"/>
        <item x="96"/>
        <item x="38"/>
        <item x="435"/>
        <item x="368"/>
        <item x="217"/>
        <item x="253"/>
        <item x="318"/>
        <item x="105"/>
        <item x="132"/>
        <item x="238"/>
        <item x="9"/>
        <item x="236"/>
        <item x="73"/>
        <item x="35"/>
        <item x="113"/>
        <item x="180"/>
        <item x="284"/>
        <item x="3"/>
        <item x="71"/>
        <item x="416"/>
        <item x="315"/>
        <item x="152"/>
        <item x="72"/>
        <item x="406"/>
        <item x="310"/>
        <item x="208"/>
        <item x="367"/>
        <item x="216"/>
        <item x="359"/>
        <item x="426"/>
        <item x="122"/>
        <item x="285"/>
        <item x="13"/>
        <item x="144"/>
        <item x="130"/>
        <item x="207"/>
        <item x="95"/>
        <item x="280"/>
        <item x="269"/>
        <item x="221"/>
        <item x="308"/>
        <item x="29"/>
        <item x="63"/>
        <item x="120"/>
        <item x="299"/>
        <item x="182"/>
        <item x="164"/>
        <item x="103"/>
        <item x="136"/>
        <item x="51"/>
        <item x="67"/>
        <item x="49"/>
        <item x="42"/>
        <item x="43"/>
        <item x="263"/>
        <item x="244"/>
        <item x="411"/>
        <item x="17"/>
        <item x="112"/>
        <item x="1"/>
        <item x="414"/>
        <item x="254"/>
        <item x="83"/>
        <item x="140"/>
        <item x="273"/>
        <item x="242"/>
        <item x="203"/>
        <item x="369"/>
        <item x="191"/>
        <item x="235"/>
        <item x="88"/>
        <item x="54"/>
        <item x="39"/>
        <item x="160"/>
        <item x="266"/>
        <item x="330"/>
        <item x="314"/>
        <item x="396"/>
        <item x="290"/>
        <item x="50"/>
        <item x="268"/>
        <item x="187"/>
        <item x="275"/>
        <item x="37"/>
        <item x="303"/>
        <item x="302"/>
        <item x="350"/>
        <item x="16"/>
        <item x="100"/>
        <item x="124"/>
        <item x="141"/>
        <item x="109"/>
        <item x="151"/>
        <item x="119"/>
        <item x="172"/>
        <item x="289"/>
        <item x="128"/>
        <item x="147"/>
        <item x="387"/>
        <item x="219"/>
        <item x="174"/>
        <item x="421"/>
        <item x="293"/>
        <item x="341"/>
        <item x="131"/>
        <item x="146"/>
        <item x="125"/>
        <item x="56"/>
        <item x="279"/>
        <item x="376"/>
        <item x="317"/>
        <item x="274"/>
        <item x="399"/>
        <item x="59"/>
        <item x="11"/>
        <item x="287"/>
        <item x="205"/>
        <item x="329"/>
        <item x="243"/>
        <item x="316"/>
        <item x="319"/>
        <item x="4"/>
        <item x="375"/>
        <item x="193"/>
        <item x="204"/>
        <item x="55"/>
        <item x="33"/>
        <item x="392"/>
        <item x="175"/>
        <item x="420"/>
        <item x="430"/>
        <item x="45"/>
        <item x="404"/>
        <item x="145"/>
        <item x="307"/>
        <item x="251"/>
        <item x="134"/>
        <item x="153"/>
        <item x="162"/>
        <item x="168"/>
        <item x="84"/>
        <item x="408"/>
        <item x="181"/>
        <item x="343"/>
        <item x="418"/>
        <item x="209"/>
        <item x="166"/>
        <item x="234"/>
        <item x="333"/>
        <item x="417"/>
        <item x="337"/>
        <item x="188"/>
        <item x="127"/>
        <item x="261"/>
        <item x="298"/>
        <item x="89"/>
        <item x="361"/>
        <item x="394"/>
        <item x="14"/>
        <item x="339"/>
        <item x="355"/>
        <item x="76"/>
        <item x="282"/>
        <item x="283"/>
        <item x="345"/>
        <item x="176"/>
        <item x="155"/>
        <item x="12"/>
        <item x="139"/>
        <item x="272"/>
        <item x="32"/>
        <item x="264"/>
        <item x="276"/>
        <item x="24"/>
        <item x="255"/>
        <item x="300"/>
        <item x="395"/>
        <item x="184"/>
        <item x="40"/>
        <item x="237"/>
        <item x="281"/>
        <item x="231"/>
        <item x="70"/>
        <item x="372"/>
        <item x="412"/>
        <item x="2"/>
        <item x="0"/>
        <item x="170"/>
        <item x="159"/>
        <item x="80"/>
        <item x="165"/>
        <item x="436"/>
        <item x="270"/>
        <item x="137"/>
        <item x="360"/>
        <item x="295"/>
        <item x="291"/>
        <item x="199"/>
        <item x="101"/>
        <item x="413"/>
        <item x="347"/>
        <item x="249"/>
        <item x="323"/>
        <item x="8"/>
        <item x="111"/>
        <item x="26"/>
        <item x="309"/>
        <item x="384"/>
        <item x="390"/>
        <item x="373"/>
        <item x="427"/>
        <item x="433"/>
        <item x="7"/>
        <item x="74"/>
        <item x="75"/>
        <item x="400"/>
        <item x="85"/>
        <item x="133"/>
        <item x="123"/>
        <item x="332"/>
        <item x="108"/>
        <item x="212"/>
        <item x="161"/>
        <item x="58"/>
        <item x="364"/>
        <item x="405"/>
        <item x="66"/>
        <item x="114"/>
        <item x="44"/>
        <item x="344"/>
        <item x="87"/>
        <item x="403"/>
        <item x="30"/>
        <item x="328"/>
        <item x="177"/>
        <item x="116"/>
        <item x="277"/>
        <item x="432"/>
        <item x="259"/>
        <item x="185"/>
        <item x="79"/>
        <item x="377"/>
        <item x="65"/>
        <item x="294"/>
        <item x="431"/>
        <item x="419"/>
        <item x="388"/>
        <item x="28"/>
        <item x="336"/>
        <item x="218"/>
        <item x="402"/>
        <item x="94"/>
        <item x="115"/>
        <item x="220"/>
        <item x="401"/>
        <item x="352"/>
        <item x="386"/>
        <item x="371"/>
        <item x="365"/>
        <item x="68"/>
        <item x="382"/>
        <item x="64"/>
        <item x="363"/>
        <item x="422"/>
        <item x="228"/>
        <item x="258"/>
        <item x="78"/>
        <item x="342"/>
        <item x="46"/>
        <item x="215"/>
        <item x="239"/>
        <item x="86"/>
        <item x="148"/>
        <item x="167"/>
        <item x="385"/>
        <item x="97"/>
        <item x="196"/>
        <item x="19"/>
        <item x="370"/>
        <item x="179"/>
        <item x="230"/>
        <item x="321"/>
        <item x="117"/>
        <item x="34"/>
        <item x="200"/>
        <item x="24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v="44"/>
    </i>
    <i>
      <x v="72"/>
    </i>
    <i>
      <x v="46"/>
    </i>
    <i>
      <x v="3"/>
    </i>
    <i>
      <x v="8"/>
    </i>
    <i>
      <x v="58"/>
    </i>
    <i>
      <x v="18"/>
    </i>
    <i>
      <x v="71"/>
    </i>
    <i>
      <x v="55"/>
    </i>
    <i>
      <x v="26"/>
    </i>
    <i t="grand">
      <x/>
    </i>
  </rowItems>
  <colFields count="2">
    <field x="7"/>
    <field x="-2"/>
  </colFields>
  <colItems count="4">
    <i>
      <x/>
      <x/>
    </i>
    <i r="1" i="1">
      <x v="1"/>
    </i>
    <i>
      <x v="2"/>
      <x/>
    </i>
    <i r="1" i="1">
      <x v="1"/>
    </i>
  </colItems>
  <dataFields count="2">
    <dataField name="Sum of Total_Sales" fld="8" baseField="0" baseItem="0"/>
    <dataField name="Count of Quantity" fld="5" subtotal="count" baseField="2" baseItem="8" numFmtId="165"/>
  </dataFields>
  <formats count="2">
    <format dxfId="6">
      <pivotArea outline="0" collapsedLevelsAreSubtotals="1" fieldPosition="0"/>
    </format>
    <format dxfId="5">
      <pivotArea outline="0" fieldPosition="0">
        <references count="1">
          <reference field="4294967294" count="1">
            <x v="1"/>
          </reference>
        </references>
      </pivotArea>
    </format>
  </formats>
  <pivotTableStyleInfo name="PivotStyleLight16" showRowHeaders="1" showColHeaders="1" showRowStripes="0" showColStripes="0" showLastColumn="1"/>
  <filters count="1">
    <filter fld="2" type="count" evalOrder="-1" id="3"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FDE1F5-6A7A-4491-AF1D-0CD8ADF4B565}"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6">
  <location ref="B3:C10" firstHeaderRow="1" firstDataRow="1" firstDataCol="1"/>
  <pivotFields count="11">
    <pivotField compact="0" outline="0" showAll="0" defaultSubtotal="0"/>
    <pivotField compact="0" numFmtId="164" outline="0" showAll="0" defaultSubtotal="0">
      <items count="264">
        <item x="244"/>
        <item x="57"/>
        <item x="196"/>
        <item x="107"/>
        <item x="200"/>
        <item x="84"/>
        <item x="261"/>
        <item x="122"/>
        <item x="45"/>
        <item x="80"/>
        <item x="262"/>
        <item x="197"/>
        <item x="206"/>
        <item x="224"/>
        <item x="6"/>
        <item x="23"/>
        <item x="259"/>
        <item x="219"/>
        <item x="193"/>
        <item x="92"/>
        <item x="120"/>
        <item x="96"/>
        <item x="53"/>
        <item x="121"/>
        <item x="179"/>
        <item x="190"/>
        <item x="169"/>
        <item x="78"/>
        <item x="64"/>
        <item x="129"/>
        <item x="199"/>
        <item x="236"/>
        <item x="97"/>
        <item x="27"/>
        <item x="56"/>
        <item x="32"/>
        <item x="115"/>
        <item x="49"/>
        <item x="58"/>
        <item x="34"/>
        <item x="209"/>
        <item x="176"/>
        <item x="98"/>
        <item x="86"/>
        <item x="82"/>
        <item x="128"/>
        <item x="186"/>
        <item x="254"/>
        <item x="4"/>
        <item x="181"/>
        <item x="250"/>
        <item x="55"/>
        <item x="126"/>
        <item x="10"/>
        <item x="43"/>
        <item x="51"/>
        <item x="255"/>
        <item x="203"/>
        <item x="116"/>
        <item x="162"/>
        <item x="159"/>
        <item x="101"/>
        <item x="11"/>
        <item x="105"/>
        <item x="0"/>
        <item x="182"/>
        <item x="59"/>
        <item x="3"/>
        <item x="232"/>
        <item x="175"/>
        <item x="146"/>
        <item x="211"/>
        <item x="136"/>
        <item x="247"/>
        <item x="180"/>
        <item x="135"/>
        <item x="7"/>
        <item x="157"/>
        <item x="163"/>
        <item x="230"/>
        <item x="152"/>
        <item x="214"/>
        <item x="132"/>
        <item x="170"/>
        <item x="148"/>
        <item x="37"/>
        <item x="130"/>
        <item x="39"/>
        <item x="85"/>
        <item x="140"/>
        <item x="87"/>
        <item x="178"/>
        <item x="226"/>
        <item x="118"/>
        <item x="161"/>
        <item x="239"/>
        <item x="166"/>
        <item x="165"/>
        <item x="14"/>
        <item x="172"/>
        <item x="13"/>
        <item x="183"/>
        <item x="251"/>
        <item x="215"/>
        <item x="79"/>
        <item x="198"/>
        <item x="123"/>
        <item x="21"/>
        <item x="65"/>
        <item x="88"/>
        <item x="142"/>
        <item x="41"/>
        <item x="185"/>
        <item x="28"/>
        <item x="119"/>
        <item x="102"/>
        <item x="223"/>
        <item x="210"/>
        <item x="31"/>
        <item x="188"/>
        <item x="112"/>
        <item x="145"/>
        <item x="202"/>
        <item x="156"/>
        <item x="252"/>
        <item x="229"/>
        <item x="124"/>
        <item x="29"/>
        <item x="5"/>
        <item x="30"/>
        <item x="62"/>
        <item x="19"/>
        <item x="184"/>
        <item x="187"/>
        <item x="233"/>
        <item x="139"/>
        <item x="167"/>
        <item x="93"/>
        <item x="66"/>
        <item x="155"/>
        <item x="256"/>
        <item x="54"/>
        <item x="111"/>
        <item x="73"/>
        <item x="72"/>
        <item x="103"/>
        <item x="8"/>
        <item x="99"/>
        <item x="77"/>
        <item x="63"/>
        <item x="149"/>
        <item x="117"/>
        <item x="208"/>
        <item x="151"/>
        <item x="134"/>
        <item x="194"/>
        <item x="104"/>
        <item x="242"/>
        <item x="191"/>
        <item x="91"/>
        <item x="137"/>
        <item x="143"/>
        <item x="25"/>
        <item x="74"/>
        <item x="189"/>
        <item x="245"/>
        <item x="160"/>
        <item x="114"/>
        <item x="46"/>
        <item x="125"/>
        <item x="35"/>
        <item x="218"/>
        <item x="153"/>
        <item x="260"/>
        <item x="70"/>
        <item x="24"/>
        <item x="177"/>
        <item x="108"/>
        <item x="204"/>
        <item x="106"/>
        <item x="16"/>
        <item x="138"/>
        <item x="60"/>
        <item x="90"/>
        <item x="234"/>
        <item x="174"/>
        <item x="52"/>
        <item x="47"/>
        <item x="171"/>
        <item x="95"/>
        <item x="238"/>
        <item x="67"/>
        <item x="2"/>
        <item x="248"/>
        <item x="216"/>
        <item x="42"/>
        <item x="241"/>
        <item x="20"/>
        <item x="249"/>
        <item x="243"/>
        <item x="76"/>
        <item x="207"/>
        <item x="110"/>
        <item x="127"/>
        <item x="253"/>
        <item x="131"/>
        <item x="212"/>
        <item x="89"/>
        <item x="246"/>
        <item x="100"/>
        <item x="18"/>
        <item x="147"/>
        <item x="71"/>
        <item x="173"/>
        <item x="217"/>
        <item x="81"/>
        <item x="201"/>
        <item x="69"/>
        <item x="231"/>
        <item x="221"/>
        <item x="38"/>
        <item x="168"/>
        <item x="15"/>
        <item x="61"/>
        <item x="237"/>
        <item x="222"/>
        <item x="22"/>
        <item x="144"/>
        <item x="44"/>
        <item x="195"/>
        <item x="141"/>
        <item x="240"/>
        <item x="36"/>
        <item x="225"/>
        <item x="228"/>
        <item x="205"/>
        <item x="154"/>
        <item x="158"/>
        <item x="164"/>
        <item x="83"/>
        <item x="94"/>
        <item x="40"/>
        <item x="9"/>
        <item x="263"/>
        <item x="75"/>
        <item x="50"/>
        <item x="257"/>
        <item x="213"/>
        <item x="150"/>
        <item x="17"/>
        <item x="26"/>
        <item x="48"/>
        <item x="133"/>
        <item x="1"/>
        <item x="235"/>
        <item x="68"/>
        <item x="113"/>
        <item x="227"/>
        <item x="220"/>
        <item x="258"/>
        <item x="109"/>
        <item x="12"/>
        <item x="33"/>
        <item x="192"/>
      </items>
    </pivotField>
    <pivotField compact="0" outline="0" showAll="0" defaultSubtotal="0"/>
    <pivotField axis="axisRow" compact="0" outline="0" showAll="0" sortType="descending" defaultSubtotal="0">
      <items count="7">
        <item x="5"/>
        <item x="0"/>
        <item x="3"/>
        <item x="2"/>
        <item x="6"/>
        <item x="1"/>
        <item x="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items count="3">
        <item x="1"/>
        <item x="2"/>
        <item x="0"/>
      </items>
    </pivotField>
    <pivotField dataField="1" compact="0" outline="0" showAll="0" defaultSubtotal="0"/>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defaultSubtotal="0">
      <items count="14">
        <item x="0"/>
        <item x="1"/>
        <item x="2"/>
        <item x="3"/>
        <item x="4"/>
        <item x="5"/>
        <item x="6"/>
        <item x="7"/>
        <item x="8"/>
        <item x="9"/>
        <item x="10"/>
        <item x="11"/>
        <item x="12"/>
        <item x="13"/>
      </items>
    </pivotField>
  </pivotFields>
  <rowFields count="1">
    <field x="3"/>
  </rowFields>
  <rowItems count="7">
    <i>
      <x/>
    </i>
    <i>
      <x v="5"/>
    </i>
    <i>
      <x v="6"/>
    </i>
    <i>
      <x v="2"/>
    </i>
    <i>
      <x v="1"/>
    </i>
    <i>
      <x v="3"/>
    </i>
    <i>
      <x v="4"/>
    </i>
  </rowItems>
  <colItems count="1">
    <i/>
  </colItems>
  <dataFields count="1">
    <dataField name="Sum of Total_Sales" fld="8" baseField="0" baseItem="0" numFmtId="166"/>
  </dataFields>
  <chartFormats count="2">
    <chartFormat chart="3" format="0"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2B36D0-0C0A-455B-BA84-AC8AC1780FBE}" name="PivotTable8"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2">
  <location ref="L134:N146" firstHeaderRow="1" firstDataRow="2" firstDataCol="1"/>
  <pivotFields count="11">
    <pivotField multipleItemSelectionAllowed="1" showAll="0">
      <items count="4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t="default"/>
      </items>
    </pivotField>
    <pivotField numFmtId="164" showAll="0">
      <items count="265">
        <item x="244"/>
        <item x="57"/>
        <item x="196"/>
        <item x="107"/>
        <item x="200"/>
        <item x="84"/>
        <item x="261"/>
        <item x="122"/>
        <item x="45"/>
        <item x="80"/>
        <item x="262"/>
        <item x="197"/>
        <item x="206"/>
        <item x="224"/>
        <item x="6"/>
        <item x="23"/>
        <item x="259"/>
        <item x="219"/>
        <item x="193"/>
        <item x="92"/>
        <item x="120"/>
        <item x="96"/>
        <item x="53"/>
        <item x="121"/>
        <item x="179"/>
        <item x="190"/>
        <item x="169"/>
        <item x="78"/>
        <item x="64"/>
        <item x="129"/>
        <item x="199"/>
        <item x="236"/>
        <item x="97"/>
        <item x="27"/>
        <item x="56"/>
        <item x="32"/>
        <item x="115"/>
        <item x="49"/>
        <item x="58"/>
        <item x="34"/>
        <item x="209"/>
        <item x="176"/>
        <item x="98"/>
        <item x="86"/>
        <item x="82"/>
        <item x="128"/>
        <item x="186"/>
        <item x="254"/>
        <item x="4"/>
        <item x="181"/>
        <item x="250"/>
        <item x="55"/>
        <item x="126"/>
        <item x="10"/>
        <item x="43"/>
        <item x="51"/>
        <item x="255"/>
        <item x="203"/>
        <item x="116"/>
        <item x="162"/>
        <item x="159"/>
        <item x="101"/>
        <item x="11"/>
        <item x="105"/>
        <item x="0"/>
        <item x="182"/>
        <item x="59"/>
        <item x="3"/>
        <item x="232"/>
        <item x="175"/>
        <item x="146"/>
        <item x="211"/>
        <item x="136"/>
        <item x="247"/>
        <item x="180"/>
        <item x="135"/>
        <item x="7"/>
        <item x="157"/>
        <item x="163"/>
        <item x="230"/>
        <item x="152"/>
        <item x="214"/>
        <item x="132"/>
        <item x="170"/>
        <item x="148"/>
        <item x="37"/>
        <item x="130"/>
        <item x="39"/>
        <item x="85"/>
        <item x="140"/>
        <item x="87"/>
        <item x="178"/>
        <item x="226"/>
        <item x="118"/>
        <item x="161"/>
        <item x="239"/>
        <item x="166"/>
        <item x="165"/>
        <item x="14"/>
        <item x="172"/>
        <item x="13"/>
        <item x="183"/>
        <item x="251"/>
        <item x="215"/>
        <item x="79"/>
        <item x="198"/>
        <item x="123"/>
        <item x="21"/>
        <item x="65"/>
        <item x="88"/>
        <item x="142"/>
        <item x="41"/>
        <item x="185"/>
        <item x="28"/>
        <item x="119"/>
        <item x="102"/>
        <item x="223"/>
        <item x="210"/>
        <item x="31"/>
        <item x="188"/>
        <item x="112"/>
        <item x="145"/>
        <item x="202"/>
        <item x="156"/>
        <item x="252"/>
        <item x="229"/>
        <item x="124"/>
        <item x="29"/>
        <item x="5"/>
        <item x="30"/>
        <item x="62"/>
        <item x="19"/>
        <item x="184"/>
        <item x="187"/>
        <item x="233"/>
        <item x="139"/>
        <item x="167"/>
        <item x="93"/>
        <item x="66"/>
        <item x="155"/>
        <item x="256"/>
        <item x="54"/>
        <item x="111"/>
        <item x="73"/>
        <item x="72"/>
        <item x="103"/>
        <item x="8"/>
        <item x="99"/>
        <item x="77"/>
        <item x="63"/>
        <item x="149"/>
        <item x="117"/>
        <item x="208"/>
        <item x="151"/>
        <item x="134"/>
        <item x="194"/>
        <item x="104"/>
        <item x="242"/>
        <item x="191"/>
        <item x="91"/>
        <item x="137"/>
        <item x="143"/>
        <item x="25"/>
        <item x="74"/>
        <item x="189"/>
        <item x="245"/>
        <item x="160"/>
        <item x="114"/>
        <item x="46"/>
        <item x="125"/>
        <item x="35"/>
        <item x="218"/>
        <item x="153"/>
        <item x="260"/>
        <item x="70"/>
        <item x="24"/>
        <item x="177"/>
        <item x="108"/>
        <item x="204"/>
        <item x="106"/>
        <item x="16"/>
        <item x="138"/>
        <item x="60"/>
        <item x="90"/>
        <item x="234"/>
        <item x="174"/>
        <item x="52"/>
        <item x="47"/>
        <item x="171"/>
        <item x="95"/>
        <item x="238"/>
        <item x="67"/>
        <item x="2"/>
        <item x="248"/>
        <item x="216"/>
        <item x="42"/>
        <item x="241"/>
        <item x="20"/>
        <item x="249"/>
        <item x="243"/>
        <item x="76"/>
        <item x="207"/>
        <item x="110"/>
        <item x="127"/>
        <item x="253"/>
        <item x="131"/>
        <item x="212"/>
        <item x="89"/>
        <item x="246"/>
        <item x="100"/>
        <item x="18"/>
        <item x="147"/>
        <item x="71"/>
        <item x="173"/>
        <item x="217"/>
        <item x="81"/>
        <item x="201"/>
        <item x="69"/>
        <item x="231"/>
        <item x="221"/>
        <item x="38"/>
        <item x="168"/>
        <item x="15"/>
        <item x="61"/>
        <item x="237"/>
        <item x="222"/>
        <item x="22"/>
        <item x="144"/>
        <item x="44"/>
        <item x="195"/>
        <item x="141"/>
        <item x="240"/>
        <item x="36"/>
        <item x="225"/>
        <item x="228"/>
        <item x="205"/>
        <item x="154"/>
        <item x="158"/>
        <item x="164"/>
        <item x="83"/>
        <item x="94"/>
        <item x="40"/>
        <item x="9"/>
        <item x="263"/>
        <item x="75"/>
        <item x="50"/>
        <item x="257"/>
        <item x="213"/>
        <item x="150"/>
        <item x="17"/>
        <item x="26"/>
        <item x="48"/>
        <item x="133"/>
        <item x="1"/>
        <item x="235"/>
        <item x="68"/>
        <item x="113"/>
        <item x="227"/>
        <item x="220"/>
        <item x="258"/>
        <item x="109"/>
        <item x="12"/>
        <item x="33"/>
        <item x="192"/>
        <item t="default"/>
      </items>
    </pivotField>
    <pivotField axis="axisRow" showAll="0" measureFilter="1" sortType="descending">
      <items count="80">
        <item x="63"/>
        <item x="25"/>
        <item x="74"/>
        <item x="3"/>
        <item x="15"/>
        <item x="50"/>
        <item x="70"/>
        <item x="43"/>
        <item x="34"/>
        <item x="52"/>
        <item x="36"/>
        <item x="0"/>
        <item x="61"/>
        <item x="24"/>
        <item x="76"/>
        <item x="29"/>
        <item x="2"/>
        <item x="45"/>
        <item x="18"/>
        <item x="54"/>
        <item x="40"/>
        <item x="14"/>
        <item x="64"/>
        <item x="33"/>
        <item x="59"/>
        <item x="1"/>
        <item x="6"/>
        <item x="19"/>
        <item x="5"/>
        <item x="23"/>
        <item x="31"/>
        <item x="55"/>
        <item x="48"/>
        <item x="57"/>
        <item x="53"/>
        <item x="72"/>
        <item x="49"/>
        <item x="9"/>
        <item x="13"/>
        <item x="56"/>
        <item x="16"/>
        <item x="69"/>
        <item x="77"/>
        <item x="28"/>
        <item x="51"/>
        <item x="4"/>
        <item x="8"/>
        <item x="42"/>
        <item x="46"/>
        <item x="60"/>
        <item x="32"/>
        <item x="67"/>
        <item x="47"/>
        <item x="21"/>
        <item x="35"/>
        <item x="68"/>
        <item x="71"/>
        <item x="7"/>
        <item x="30"/>
        <item x="66"/>
        <item x="27"/>
        <item x="11"/>
        <item x="73"/>
        <item x="10"/>
        <item x="78"/>
        <item x="44"/>
        <item x="20"/>
        <item x="58"/>
        <item x="39"/>
        <item x="62"/>
        <item x="26"/>
        <item x="12"/>
        <item x="22"/>
        <item x="37"/>
        <item x="65"/>
        <item x="41"/>
        <item x="75"/>
        <item x="17"/>
        <item x="38"/>
        <item t="default"/>
      </items>
      <autoSortScope>
        <pivotArea dataOnly="0" outline="0" fieldPosition="0">
          <references count="1">
            <reference field="4294967294" count="1" selected="0">
              <x v="0"/>
            </reference>
          </references>
        </pivotArea>
      </autoSortScope>
    </pivotField>
    <pivotField showAll="0">
      <items count="8">
        <item x="5"/>
        <item x="0"/>
        <item x="3"/>
        <item x="2"/>
        <item x="6"/>
        <item x="1"/>
        <item x="4"/>
        <item t="default"/>
      </items>
    </pivotField>
    <pivotField showAll="0"/>
    <pivotField showAll="0">
      <items count="10">
        <item x="6"/>
        <item x="3"/>
        <item x="2"/>
        <item x="1"/>
        <item x="8"/>
        <item x="0"/>
        <item x="5"/>
        <item x="7"/>
        <item x="4"/>
        <item t="default"/>
      </items>
    </pivotField>
    <pivotField showAll="0"/>
    <pivotField axis="axisCol" showAll="0">
      <items count="4">
        <item x="1"/>
        <item h="1" x="2"/>
        <item x="0"/>
        <item t="default"/>
      </items>
    </pivotField>
    <pivotField dataField="1" showAll="0">
      <items count="440">
        <item x="340"/>
        <item x="423"/>
        <item x="271"/>
        <item x="381"/>
        <item x="90"/>
        <item x="77"/>
        <item x="415"/>
        <item x="320"/>
        <item x="437"/>
        <item x="22"/>
        <item x="397"/>
        <item x="110"/>
        <item x="138"/>
        <item x="156"/>
        <item x="15"/>
        <item x="186"/>
        <item x="324"/>
        <item x="232"/>
        <item x="178"/>
        <item x="10"/>
        <item x="69"/>
        <item x="107"/>
        <item x="306"/>
        <item x="334"/>
        <item x="304"/>
        <item x="104"/>
        <item x="211"/>
        <item x="425"/>
        <item x="267"/>
        <item x="233"/>
        <item x="326"/>
        <item x="169"/>
        <item x="142"/>
        <item x="322"/>
        <item x="335"/>
        <item x="201"/>
        <item x="20"/>
        <item x="362"/>
        <item x="135"/>
        <item x="62"/>
        <item x="349"/>
        <item x="126"/>
        <item x="21"/>
        <item x="288"/>
        <item x="192"/>
        <item x="257"/>
        <item x="297"/>
        <item x="106"/>
        <item x="227"/>
        <item x="6"/>
        <item x="118"/>
        <item x="31"/>
        <item x="60"/>
        <item x="398"/>
        <item x="250"/>
        <item x="331"/>
        <item x="41"/>
        <item x="225"/>
        <item x="383"/>
        <item x="98"/>
        <item x="93"/>
        <item x="374"/>
        <item x="121"/>
        <item x="241"/>
        <item x="213"/>
        <item x="248"/>
        <item x="260"/>
        <item x="190"/>
        <item x="424"/>
        <item x="229"/>
        <item x="25"/>
        <item x="366"/>
        <item x="252"/>
        <item x="410"/>
        <item x="312"/>
        <item x="5"/>
        <item x="313"/>
        <item x="438"/>
        <item x="202"/>
        <item x="389"/>
        <item x="102"/>
        <item x="99"/>
        <item x="27"/>
        <item x="428"/>
        <item x="183"/>
        <item x="48"/>
        <item x="301"/>
        <item x="173"/>
        <item x="429"/>
        <item x="57"/>
        <item x="356"/>
        <item x="23"/>
        <item x="61"/>
        <item x="434"/>
        <item x="157"/>
        <item x="198"/>
        <item x="143"/>
        <item x="154"/>
        <item x="189"/>
        <item x="327"/>
        <item x="149"/>
        <item x="194"/>
        <item x="214"/>
        <item x="256"/>
        <item x="222"/>
        <item x="36"/>
        <item x="380"/>
        <item x="246"/>
        <item x="378"/>
        <item x="247"/>
        <item x="223"/>
        <item x="163"/>
        <item x="407"/>
        <item x="265"/>
        <item x="262"/>
        <item x="226"/>
        <item x="158"/>
        <item x="325"/>
        <item x="357"/>
        <item x="18"/>
        <item x="338"/>
        <item x="195"/>
        <item x="393"/>
        <item x="206"/>
        <item x="278"/>
        <item x="53"/>
        <item x="305"/>
        <item x="171"/>
        <item x="348"/>
        <item x="354"/>
        <item x="150"/>
        <item x="210"/>
        <item x="224"/>
        <item x="409"/>
        <item x="311"/>
        <item x="91"/>
        <item x="358"/>
        <item x="351"/>
        <item x="82"/>
        <item x="296"/>
        <item x="286"/>
        <item x="292"/>
        <item x="92"/>
        <item x="353"/>
        <item x="346"/>
        <item x="47"/>
        <item x="240"/>
        <item x="391"/>
        <item x="197"/>
        <item x="129"/>
        <item x="52"/>
        <item x="379"/>
        <item x="81"/>
        <item x="96"/>
        <item x="38"/>
        <item x="435"/>
        <item x="368"/>
        <item x="217"/>
        <item x="253"/>
        <item x="318"/>
        <item x="105"/>
        <item x="132"/>
        <item x="238"/>
        <item x="9"/>
        <item x="236"/>
        <item x="73"/>
        <item x="35"/>
        <item x="113"/>
        <item x="180"/>
        <item x="284"/>
        <item x="3"/>
        <item x="71"/>
        <item x="416"/>
        <item x="315"/>
        <item x="152"/>
        <item x="72"/>
        <item x="406"/>
        <item x="310"/>
        <item x="208"/>
        <item x="367"/>
        <item x="216"/>
        <item x="359"/>
        <item x="426"/>
        <item x="122"/>
        <item x="285"/>
        <item x="13"/>
        <item x="144"/>
        <item x="130"/>
        <item x="207"/>
        <item x="95"/>
        <item x="280"/>
        <item x="269"/>
        <item x="221"/>
        <item x="308"/>
        <item x="29"/>
        <item x="63"/>
        <item x="120"/>
        <item x="299"/>
        <item x="182"/>
        <item x="164"/>
        <item x="103"/>
        <item x="136"/>
        <item x="51"/>
        <item x="67"/>
        <item x="49"/>
        <item x="42"/>
        <item x="43"/>
        <item x="263"/>
        <item x="244"/>
        <item x="411"/>
        <item x="17"/>
        <item x="112"/>
        <item x="1"/>
        <item x="414"/>
        <item x="254"/>
        <item x="83"/>
        <item x="140"/>
        <item x="273"/>
        <item x="242"/>
        <item x="203"/>
        <item x="369"/>
        <item x="191"/>
        <item x="235"/>
        <item x="88"/>
        <item x="54"/>
        <item x="39"/>
        <item x="160"/>
        <item x="266"/>
        <item x="330"/>
        <item x="314"/>
        <item x="396"/>
        <item x="290"/>
        <item x="50"/>
        <item x="268"/>
        <item x="187"/>
        <item x="275"/>
        <item x="37"/>
        <item x="303"/>
        <item x="302"/>
        <item x="350"/>
        <item x="16"/>
        <item x="100"/>
        <item x="124"/>
        <item x="141"/>
        <item x="109"/>
        <item x="151"/>
        <item x="119"/>
        <item x="172"/>
        <item x="289"/>
        <item x="128"/>
        <item x="147"/>
        <item x="387"/>
        <item x="219"/>
        <item x="174"/>
        <item x="421"/>
        <item x="293"/>
        <item x="341"/>
        <item x="131"/>
        <item x="146"/>
        <item x="125"/>
        <item x="56"/>
        <item x="279"/>
        <item x="376"/>
        <item x="317"/>
        <item x="274"/>
        <item x="399"/>
        <item x="59"/>
        <item x="11"/>
        <item x="287"/>
        <item x="205"/>
        <item x="329"/>
        <item x="243"/>
        <item x="316"/>
        <item x="319"/>
        <item x="4"/>
        <item x="375"/>
        <item x="193"/>
        <item x="204"/>
        <item x="55"/>
        <item x="33"/>
        <item x="392"/>
        <item x="175"/>
        <item x="420"/>
        <item x="430"/>
        <item x="45"/>
        <item x="404"/>
        <item x="145"/>
        <item x="307"/>
        <item x="251"/>
        <item x="134"/>
        <item x="153"/>
        <item x="162"/>
        <item x="168"/>
        <item x="84"/>
        <item x="408"/>
        <item x="181"/>
        <item x="343"/>
        <item x="418"/>
        <item x="209"/>
        <item x="166"/>
        <item x="234"/>
        <item x="333"/>
        <item x="417"/>
        <item x="337"/>
        <item x="188"/>
        <item x="127"/>
        <item x="261"/>
        <item x="298"/>
        <item x="89"/>
        <item x="361"/>
        <item x="394"/>
        <item x="14"/>
        <item x="339"/>
        <item x="355"/>
        <item x="76"/>
        <item x="282"/>
        <item x="283"/>
        <item x="345"/>
        <item x="176"/>
        <item x="155"/>
        <item x="12"/>
        <item x="139"/>
        <item x="272"/>
        <item x="32"/>
        <item x="264"/>
        <item x="276"/>
        <item x="24"/>
        <item x="255"/>
        <item x="300"/>
        <item x="395"/>
        <item x="184"/>
        <item x="40"/>
        <item x="237"/>
        <item x="281"/>
        <item x="231"/>
        <item x="70"/>
        <item x="372"/>
        <item x="412"/>
        <item x="2"/>
        <item x="0"/>
        <item x="170"/>
        <item x="159"/>
        <item x="80"/>
        <item x="165"/>
        <item x="436"/>
        <item x="270"/>
        <item x="137"/>
        <item x="360"/>
        <item x="295"/>
        <item x="291"/>
        <item x="199"/>
        <item x="101"/>
        <item x="413"/>
        <item x="347"/>
        <item x="249"/>
        <item x="323"/>
        <item x="8"/>
        <item x="111"/>
        <item x="26"/>
        <item x="309"/>
        <item x="384"/>
        <item x="390"/>
        <item x="373"/>
        <item x="427"/>
        <item x="433"/>
        <item x="7"/>
        <item x="74"/>
        <item x="75"/>
        <item x="400"/>
        <item x="85"/>
        <item x="133"/>
        <item x="123"/>
        <item x="332"/>
        <item x="108"/>
        <item x="212"/>
        <item x="161"/>
        <item x="58"/>
        <item x="364"/>
        <item x="405"/>
        <item x="66"/>
        <item x="114"/>
        <item x="44"/>
        <item x="344"/>
        <item x="87"/>
        <item x="403"/>
        <item x="30"/>
        <item x="328"/>
        <item x="177"/>
        <item x="116"/>
        <item x="277"/>
        <item x="432"/>
        <item x="259"/>
        <item x="185"/>
        <item x="79"/>
        <item x="377"/>
        <item x="65"/>
        <item x="294"/>
        <item x="431"/>
        <item x="419"/>
        <item x="388"/>
        <item x="28"/>
        <item x="336"/>
        <item x="218"/>
        <item x="402"/>
        <item x="94"/>
        <item x="115"/>
        <item x="220"/>
        <item x="401"/>
        <item x="352"/>
        <item x="386"/>
        <item x="371"/>
        <item x="365"/>
        <item x="68"/>
        <item x="382"/>
        <item x="64"/>
        <item x="363"/>
        <item x="422"/>
        <item x="228"/>
        <item x="258"/>
        <item x="78"/>
        <item x="342"/>
        <item x="46"/>
        <item x="215"/>
        <item x="239"/>
        <item x="86"/>
        <item x="148"/>
        <item x="167"/>
        <item x="385"/>
        <item x="97"/>
        <item x="196"/>
        <item x="19"/>
        <item x="370"/>
        <item x="179"/>
        <item x="230"/>
        <item x="321"/>
        <item x="117"/>
        <item x="34"/>
        <item x="200"/>
        <item x="24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v="44"/>
    </i>
    <i>
      <x v="72"/>
    </i>
    <i>
      <x v="46"/>
    </i>
    <i>
      <x v="29"/>
    </i>
    <i>
      <x v="41"/>
    </i>
    <i>
      <x v="10"/>
    </i>
    <i>
      <x v="3"/>
    </i>
    <i>
      <x v="8"/>
    </i>
    <i>
      <x v="58"/>
    </i>
    <i>
      <x v="5"/>
    </i>
    <i t="grand">
      <x/>
    </i>
  </rowItems>
  <colFields count="1">
    <field x="7"/>
  </colFields>
  <colItems count="2">
    <i>
      <x/>
    </i>
    <i>
      <x v="2"/>
    </i>
  </colItems>
  <dataFields count="1">
    <dataField name="Sum of Total_Sales" fld="8" baseField="7" baseItem="0" numFmtId="167"/>
  </dataFields>
  <formats count="1">
    <format dxfId="7">
      <pivotArea outline="0" collapsedLevelsAreSubtotals="1" fieldPosition="0"/>
    </format>
  </formats>
  <chartFormats count="156">
    <chartFormat chart="22"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12" series="1">
      <pivotArea type="data" outline="0" fieldPosition="0">
        <references count="1">
          <reference field="4294967294" count="1" selected="0">
            <x v="0"/>
          </reference>
        </references>
      </pivotArea>
    </chartFormat>
    <chartFormat chart="40" format="9" series="1">
      <pivotArea type="data" outline="0" fieldPosition="0">
        <references count="1">
          <reference field="4294967294" count="1" selected="0">
            <x v="0"/>
          </reference>
        </references>
      </pivotArea>
    </chartFormat>
    <chartFormat chart="40" format="10" series="1">
      <pivotArea type="data" outline="0" fieldPosition="0">
        <references count="2">
          <reference field="4294967294" count="1" selected="0">
            <x v="0"/>
          </reference>
          <reference field="2" count="1" selected="0">
            <x v="1"/>
          </reference>
        </references>
      </pivotArea>
    </chartFormat>
    <chartFormat chart="40" format="11" series="1">
      <pivotArea type="data" outline="0" fieldPosition="0">
        <references count="2">
          <reference field="4294967294" count="1" selected="0">
            <x v="0"/>
          </reference>
          <reference field="2" count="1" selected="0">
            <x v="2"/>
          </reference>
        </references>
      </pivotArea>
    </chartFormat>
    <chartFormat chart="40" format="12" series="1">
      <pivotArea type="data" outline="0" fieldPosition="0">
        <references count="2">
          <reference field="4294967294" count="1" selected="0">
            <x v="0"/>
          </reference>
          <reference field="2" count="1" selected="0">
            <x v="3"/>
          </reference>
        </references>
      </pivotArea>
    </chartFormat>
    <chartFormat chart="40" format="13" series="1">
      <pivotArea type="data" outline="0" fieldPosition="0">
        <references count="2">
          <reference field="4294967294" count="1" selected="0">
            <x v="0"/>
          </reference>
          <reference field="2" count="1" selected="0">
            <x v="4"/>
          </reference>
        </references>
      </pivotArea>
    </chartFormat>
    <chartFormat chart="40" format="14" series="1">
      <pivotArea type="data" outline="0" fieldPosition="0">
        <references count="2">
          <reference field="4294967294" count="1" selected="0">
            <x v="0"/>
          </reference>
          <reference field="2" count="1" selected="0">
            <x v="5"/>
          </reference>
        </references>
      </pivotArea>
    </chartFormat>
    <chartFormat chart="40" format="15" series="1">
      <pivotArea type="data" outline="0" fieldPosition="0">
        <references count="2">
          <reference field="4294967294" count="1" selected="0">
            <x v="0"/>
          </reference>
          <reference field="2" count="1" selected="0">
            <x v="6"/>
          </reference>
        </references>
      </pivotArea>
    </chartFormat>
    <chartFormat chart="40" format="16" series="1">
      <pivotArea type="data" outline="0" fieldPosition="0">
        <references count="2">
          <reference field="4294967294" count="1" selected="0">
            <x v="0"/>
          </reference>
          <reference field="2" count="1" selected="0">
            <x v="7"/>
          </reference>
        </references>
      </pivotArea>
    </chartFormat>
    <chartFormat chart="40" format="17" series="1">
      <pivotArea type="data" outline="0" fieldPosition="0">
        <references count="2">
          <reference field="4294967294" count="1" selected="0">
            <x v="0"/>
          </reference>
          <reference field="2" count="1" selected="0">
            <x v="8"/>
          </reference>
        </references>
      </pivotArea>
    </chartFormat>
    <chartFormat chart="40" format="18" series="1">
      <pivotArea type="data" outline="0" fieldPosition="0">
        <references count="2">
          <reference field="4294967294" count="1" selected="0">
            <x v="0"/>
          </reference>
          <reference field="2" count="1" selected="0">
            <x v="9"/>
          </reference>
        </references>
      </pivotArea>
    </chartFormat>
    <chartFormat chart="40" format="19" series="1">
      <pivotArea type="data" outline="0" fieldPosition="0">
        <references count="2">
          <reference field="4294967294" count="1" selected="0">
            <x v="0"/>
          </reference>
          <reference field="2" count="1" selected="0">
            <x v="10"/>
          </reference>
        </references>
      </pivotArea>
    </chartFormat>
    <chartFormat chart="40" format="20" series="1">
      <pivotArea type="data" outline="0" fieldPosition="0">
        <references count="2">
          <reference field="4294967294" count="1" selected="0">
            <x v="0"/>
          </reference>
          <reference field="2" count="1" selected="0">
            <x v="11"/>
          </reference>
        </references>
      </pivotArea>
    </chartFormat>
    <chartFormat chart="40" format="21" series="1">
      <pivotArea type="data" outline="0" fieldPosition="0">
        <references count="2">
          <reference field="4294967294" count="1" selected="0">
            <x v="0"/>
          </reference>
          <reference field="2" count="1" selected="0">
            <x v="12"/>
          </reference>
        </references>
      </pivotArea>
    </chartFormat>
    <chartFormat chart="40" format="22" series="1">
      <pivotArea type="data" outline="0" fieldPosition="0">
        <references count="2">
          <reference field="4294967294" count="1" selected="0">
            <x v="0"/>
          </reference>
          <reference field="2" count="1" selected="0">
            <x v="13"/>
          </reference>
        </references>
      </pivotArea>
    </chartFormat>
    <chartFormat chart="40" format="23" series="1">
      <pivotArea type="data" outline="0" fieldPosition="0">
        <references count="2">
          <reference field="4294967294" count="1" selected="0">
            <x v="0"/>
          </reference>
          <reference field="2" count="1" selected="0">
            <x v="14"/>
          </reference>
        </references>
      </pivotArea>
    </chartFormat>
    <chartFormat chart="40" format="24" series="1">
      <pivotArea type="data" outline="0" fieldPosition="0">
        <references count="2">
          <reference field="4294967294" count="1" selected="0">
            <x v="0"/>
          </reference>
          <reference field="2" count="1" selected="0">
            <x v="15"/>
          </reference>
        </references>
      </pivotArea>
    </chartFormat>
    <chartFormat chart="40" format="25" series="1">
      <pivotArea type="data" outline="0" fieldPosition="0">
        <references count="2">
          <reference field="4294967294" count="1" selected="0">
            <x v="0"/>
          </reference>
          <reference field="2" count="1" selected="0">
            <x v="16"/>
          </reference>
        </references>
      </pivotArea>
    </chartFormat>
    <chartFormat chart="40" format="26" series="1">
      <pivotArea type="data" outline="0" fieldPosition="0">
        <references count="2">
          <reference field="4294967294" count="1" selected="0">
            <x v="0"/>
          </reference>
          <reference field="2" count="1" selected="0">
            <x v="17"/>
          </reference>
        </references>
      </pivotArea>
    </chartFormat>
    <chartFormat chart="40" format="27" series="1">
      <pivotArea type="data" outline="0" fieldPosition="0">
        <references count="2">
          <reference field="4294967294" count="1" selected="0">
            <x v="0"/>
          </reference>
          <reference field="2" count="1" selected="0">
            <x v="18"/>
          </reference>
        </references>
      </pivotArea>
    </chartFormat>
    <chartFormat chart="40" format="28" series="1">
      <pivotArea type="data" outline="0" fieldPosition="0">
        <references count="2">
          <reference field="4294967294" count="1" selected="0">
            <x v="0"/>
          </reference>
          <reference field="2" count="1" selected="0">
            <x v="19"/>
          </reference>
        </references>
      </pivotArea>
    </chartFormat>
    <chartFormat chart="40" format="29" series="1">
      <pivotArea type="data" outline="0" fieldPosition="0">
        <references count="2">
          <reference field="4294967294" count="1" selected="0">
            <x v="0"/>
          </reference>
          <reference field="2" count="1" selected="0">
            <x v="20"/>
          </reference>
        </references>
      </pivotArea>
    </chartFormat>
    <chartFormat chart="40" format="30" series="1">
      <pivotArea type="data" outline="0" fieldPosition="0">
        <references count="2">
          <reference field="4294967294" count="1" selected="0">
            <x v="0"/>
          </reference>
          <reference field="2" count="1" selected="0">
            <x v="21"/>
          </reference>
        </references>
      </pivotArea>
    </chartFormat>
    <chartFormat chart="40" format="31" series="1">
      <pivotArea type="data" outline="0" fieldPosition="0">
        <references count="2">
          <reference field="4294967294" count="1" selected="0">
            <x v="0"/>
          </reference>
          <reference field="2" count="1" selected="0">
            <x v="22"/>
          </reference>
        </references>
      </pivotArea>
    </chartFormat>
    <chartFormat chart="40" format="32" series="1">
      <pivotArea type="data" outline="0" fieldPosition="0">
        <references count="2">
          <reference field="4294967294" count="1" selected="0">
            <x v="0"/>
          </reference>
          <reference field="2" count="1" selected="0">
            <x v="23"/>
          </reference>
        </references>
      </pivotArea>
    </chartFormat>
    <chartFormat chart="40" format="33" series="1">
      <pivotArea type="data" outline="0" fieldPosition="0">
        <references count="2">
          <reference field="4294967294" count="1" selected="0">
            <x v="0"/>
          </reference>
          <reference field="2" count="1" selected="0">
            <x v="24"/>
          </reference>
        </references>
      </pivotArea>
    </chartFormat>
    <chartFormat chart="40" format="34" series="1">
      <pivotArea type="data" outline="0" fieldPosition="0">
        <references count="2">
          <reference field="4294967294" count="1" selected="0">
            <x v="0"/>
          </reference>
          <reference field="2" count="1" selected="0">
            <x v="25"/>
          </reference>
        </references>
      </pivotArea>
    </chartFormat>
    <chartFormat chart="40" format="35" series="1">
      <pivotArea type="data" outline="0" fieldPosition="0">
        <references count="2">
          <reference field="4294967294" count="1" selected="0">
            <x v="0"/>
          </reference>
          <reference field="2" count="1" selected="0">
            <x v="26"/>
          </reference>
        </references>
      </pivotArea>
    </chartFormat>
    <chartFormat chart="40" format="36" series="1">
      <pivotArea type="data" outline="0" fieldPosition="0">
        <references count="2">
          <reference field="4294967294" count="1" selected="0">
            <x v="0"/>
          </reference>
          <reference field="2" count="1" selected="0">
            <x v="27"/>
          </reference>
        </references>
      </pivotArea>
    </chartFormat>
    <chartFormat chart="40" format="37" series="1">
      <pivotArea type="data" outline="0" fieldPosition="0">
        <references count="2">
          <reference field="4294967294" count="1" selected="0">
            <x v="0"/>
          </reference>
          <reference field="2" count="1" selected="0">
            <x v="28"/>
          </reference>
        </references>
      </pivotArea>
    </chartFormat>
    <chartFormat chart="40" format="38" series="1">
      <pivotArea type="data" outline="0" fieldPosition="0">
        <references count="2">
          <reference field="4294967294" count="1" selected="0">
            <x v="0"/>
          </reference>
          <reference field="2" count="1" selected="0">
            <x v="29"/>
          </reference>
        </references>
      </pivotArea>
    </chartFormat>
    <chartFormat chart="40" format="39" series="1">
      <pivotArea type="data" outline="0" fieldPosition="0">
        <references count="2">
          <reference field="4294967294" count="1" selected="0">
            <x v="0"/>
          </reference>
          <reference field="2" count="1" selected="0">
            <x v="30"/>
          </reference>
        </references>
      </pivotArea>
    </chartFormat>
    <chartFormat chart="40" format="40" series="1">
      <pivotArea type="data" outline="0" fieldPosition="0">
        <references count="2">
          <reference field="4294967294" count="1" selected="0">
            <x v="0"/>
          </reference>
          <reference field="2" count="1" selected="0">
            <x v="31"/>
          </reference>
        </references>
      </pivotArea>
    </chartFormat>
    <chartFormat chart="40" format="41" series="1">
      <pivotArea type="data" outline="0" fieldPosition="0">
        <references count="2">
          <reference field="4294967294" count="1" selected="0">
            <x v="0"/>
          </reference>
          <reference field="2" count="1" selected="0">
            <x v="32"/>
          </reference>
        </references>
      </pivotArea>
    </chartFormat>
    <chartFormat chart="40" format="42" series="1">
      <pivotArea type="data" outline="0" fieldPosition="0">
        <references count="2">
          <reference field="4294967294" count="1" selected="0">
            <x v="0"/>
          </reference>
          <reference field="2" count="1" selected="0">
            <x v="33"/>
          </reference>
        </references>
      </pivotArea>
    </chartFormat>
    <chartFormat chart="40" format="43" series="1">
      <pivotArea type="data" outline="0" fieldPosition="0">
        <references count="2">
          <reference field="4294967294" count="1" selected="0">
            <x v="0"/>
          </reference>
          <reference field="2" count="1" selected="0">
            <x v="34"/>
          </reference>
        </references>
      </pivotArea>
    </chartFormat>
    <chartFormat chart="40" format="44" series="1">
      <pivotArea type="data" outline="0" fieldPosition="0">
        <references count="2">
          <reference field="4294967294" count="1" selected="0">
            <x v="0"/>
          </reference>
          <reference field="2" count="1" selected="0">
            <x v="35"/>
          </reference>
        </references>
      </pivotArea>
    </chartFormat>
    <chartFormat chart="40" format="45" series="1">
      <pivotArea type="data" outline="0" fieldPosition="0">
        <references count="2">
          <reference field="4294967294" count="1" selected="0">
            <x v="0"/>
          </reference>
          <reference field="2" count="1" selected="0">
            <x v="36"/>
          </reference>
        </references>
      </pivotArea>
    </chartFormat>
    <chartFormat chart="40" format="46" series="1">
      <pivotArea type="data" outline="0" fieldPosition="0">
        <references count="2">
          <reference field="4294967294" count="1" selected="0">
            <x v="0"/>
          </reference>
          <reference field="2" count="1" selected="0">
            <x v="37"/>
          </reference>
        </references>
      </pivotArea>
    </chartFormat>
    <chartFormat chart="40" format="47" series="1">
      <pivotArea type="data" outline="0" fieldPosition="0">
        <references count="2">
          <reference field="4294967294" count="1" selected="0">
            <x v="0"/>
          </reference>
          <reference field="2" count="1" selected="0">
            <x v="38"/>
          </reference>
        </references>
      </pivotArea>
    </chartFormat>
    <chartFormat chart="40" format="48" series="1">
      <pivotArea type="data" outline="0" fieldPosition="0">
        <references count="2">
          <reference field="4294967294" count="1" selected="0">
            <x v="0"/>
          </reference>
          <reference field="2" count="1" selected="0">
            <x v="39"/>
          </reference>
        </references>
      </pivotArea>
    </chartFormat>
    <chartFormat chart="40" format="49" series="1">
      <pivotArea type="data" outline="0" fieldPosition="0">
        <references count="2">
          <reference field="4294967294" count="1" selected="0">
            <x v="0"/>
          </reference>
          <reference field="2" count="1" selected="0">
            <x v="40"/>
          </reference>
        </references>
      </pivotArea>
    </chartFormat>
    <chartFormat chart="40" format="50" series="1">
      <pivotArea type="data" outline="0" fieldPosition="0">
        <references count="2">
          <reference field="4294967294" count="1" selected="0">
            <x v="0"/>
          </reference>
          <reference field="2" count="1" selected="0">
            <x v="41"/>
          </reference>
        </references>
      </pivotArea>
    </chartFormat>
    <chartFormat chart="40" format="51" series="1">
      <pivotArea type="data" outline="0" fieldPosition="0">
        <references count="2">
          <reference field="4294967294" count="1" selected="0">
            <x v="0"/>
          </reference>
          <reference field="2" count="1" selected="0">
            <x v="42"/>
          </reference>
        </references>
      </pivotArea>
    </chartFormat>
    <chartFormat chart="40" format="52" series="1">
      <pivotArea type="data" outline="0" fieldPosition="0">
        <references count="2">
          <reference field="4294967294" count="1" selected="0">
            <x v="0"/>
          </reference>
          <reference field="2" count="1" selected="0">
            <x v="43"/>
          </reference>
        </references>
      </pivotArea>
    </chartFormat>
    <chartFormat chart="40" format="53" series="1">
      <pivotArea type="data" outline="0" fieldPosition="0">
        <references count="2">
          <reference field="4294967294" count="1" selected="0">
            <x v="0"/>
          </reference>
          <reference field="2" count="1" selected="0">
            <x v="44"/>
          </reference>
        </references>
      </pivotArea>
    </chartFormat>
    <chartFormat chart="40" format="54" series="1">
      <pivotArea type="data" outline="0" fieldPosition="0">
        <references count="2">
          <reference field="4294967294" count="1" selected="0">
            <x v="0"/>
          </reference>
          <reference field="2" count="1" selected="0">
            <x v="45"/>
          </reference>
        </references>
      </pivotArea>
    </chartFormat>
    <chartFormat chart="40" format="55" series="1">
      <pivotArea type="data" outline="0" fieldPosition="0">
        <references count="2">
          <reference field="4294967294" count="1" selected="0">
            <x v="0"/>
          </reference>
          <reference field="2" count="1" selected="0">
            <x v="46"/>
          </reference>
        </references>
      </pivotArea>
    </chartFormat>
    <chartFormat chart="40" format="56" series="1">
      <pivotArea type="data" outline="0" fieldPosition="0">
        <references count="2">
          <reference field="4294967294" count="1" selected="0">
            <x v="0"/>
          </reference>
          <reference field="2" count="1" selected="0">
            <x v="47"/>
          </reference>
        </references>
      </pivotArea>
    </chartFormat>
    <chartFormat chart="40" format="57" series="1">
      <pivotArea type="data" outline="0" fieldPosition="0">
        <references count="2">
          <reference field="4294967294" count="1" selected="0">
            <x v="0"/>
          </reference>
          <reference field="2" count="1" selected="0">
            <x v="48"/>
          </reference>
        </references>
      </pivotArea>
    </chartFormat>
    <chartFormat chart="40" format="58" series="1">
      <pivotArea type="data" outline="0" fieldPosition="0">
        <references count="2">
          <reference field="4294967294" count="1" selected="0">
            <x v="0"/>
          </reference>
          <reference field="2" count="1" selected="0">
            <x v="49"/>
          </reference>
        </references>
      </pivotArea>
    </chartFormat>
    <chartFormat chart="40" format="59" series="1">
      <pivotArea type="data" outline="0" fieldPosition="0">
        <references count="2">
          <reference field="4294967294" count="1" selected="0">
            <x v="0"/>
          </reference>
          <reference field="2" count="1" selected="0">
            <x v="50"/>
          </reference>
        </references>
      </pivotArea>
    </chartFormat>
    <chartFormat chart="40" format="60" series="1">
      <pivotArea type="data" outline="0" fieldPosition="0">
        <references count="2">
          <reference field="4294967294" count="1" selected="0">
            <x v="0"/>
          </reference>
          <reference field="2" count="1" selected="0">
            <x v="51"/>
          </reference>
        </references>
      </pivotArea>
    </chartFormat>
    <chartFormat chart="40" format="61" series="1">
      <pivotArea type="data" outline="0" fieldPosition="0">
        <references count="2">
          <reference field="4294967294" count="1" selected="0">
            <x v="0"/>
          </reference>
          <reference field="2" count="1" selected="0">
            <x v="52"/>
          </reference>
        </references>
      </pivotArea>
    </chartFormat>
    <chartFormat chart="40" format="62" series="1">
      <pivotArea type="data" outline="0" fieldPosition="0">
        <references count="2">
          <reference field="4294967294" count="1" selected="0">
            <x v="0"/>
          </reference>
          <reference field="2" count="1" selected="0">
            <x v="53"/>
          </reference>
        </references>
      </pivotArea>
    </chartFormat>
    <chartFormat chart="40" format="63" series="1">
      <pivotArea type="data" outline="0" fieldPosition="0">
        <references count="2">
          <reference field="4294967294" count="1" selected="0">
            <x v="0"/>
          </reference>
          <reference field="2" count="1" selected="0">
            <x v="54"/>
          </reference>
        </references>
      </pivotArea>
    </chartFormat>
    <chartFormat chart="40" format="64" series="1">
      <pivotArea type="data" outline="0" fieldPosition="0">
        <references count="2">
          <reference field="4294967294" count="1" selected="0">
            <x v="0"/>
          </reference>
          <reference field="2" count="1" selected="0">
            <x v="55"/>
          </reference>
        </references>
      </pivotArea>
    </chartFormat>
    <chartFormat chart="40" format="65" series="1">
      <pivotArea type="data" outline="0" fieldPosition="0">
        <references count="2">
          <reference field="4294967294" count="1" selected="0">
            <x v="0"/>
          </reference>
          <reference field="2" count="1" selected="0">
            <x v="56"/>
          </reference>
        </references>
      </pivotArea>
    </chartFormat>
    <chartFormat chart="40" format="66" series="1">
      <pivotArea type="data" outline="0" fieldPosition="0">
        <references count="2">
          <reference field="4294967294" count="1" selected="0">
            <x v="0"/>
          </reference>
          <reference field="2" count="1" selected="0">
            <x v="57"/>
          </reference>
        </references>
      </pivotArea>
    </chartFormat>
    <chartFormat chart="40" format="67" series="1">
      <pivotArea type="data" outline="0" fieldPosition="0">
        <references count="2">
          <reference field="4294967294" count="1" selected="0">
            <x v="0"/>
          </reference>
          <reference field="2" count="1" selected="0">
            <x v="58"/>
          </reference>
        </references>
      </pivotArea>
    </chartFormat>
    <chartFormat chart="40" format="68" series="1">
      <pivotArea type="data" outline="0" fieldPosition="0">
        <references count="2">
          <reference field="4294967294" count="1" selected="0">
            <x v="0"/>
          </reference>
          <reference field="2" count="1" selected="0">
            <x v="59"/>
          </reference>
        </references>
      </pivotArea>
    </chartFormat>
    <chartFormat chart="40" format="69" series="1">
      <pivotArea type="data" outline="0" fieldPosition="0">
        <references count="2">
          <reference field="4294967294" count="1" selected="0">
            <x v="0"/>
          </reference>
          <reference field="2" count="1" selected="0">
            <x v="60"/>
          </reference>
        </references>
      </pivotArea>
    </chartFormat>
    <chartFormat chart="40" format="70" series="1">
      <pivotArea type="data" outline="0" fieldPosition="0">
        <references count="2">
          <reference field="4294967294" count="1" selected="0">
            <x v="0"/>
          </reference>
          <reference field="2" count="1" selected="0">
            <x v="61"/>
          </reference>
        </references>
      </pivotArea>
    </chartFormat>
    <chartFormat chart="40" format="71" series="1">
      <pivotArea type="data" outline="0" fieldPosition="0">
        <references count="2">
          <reference field="4294967294" count="1" selected="0">
            <x v="0"/>
          </reference>
          <reference field="2" count="1" selected="0">
            <x v="62"/>
          </reference>
        </references>
      </pivotArea>
    </chartFormat>
    <chartFormat chart="40" format="72" series="1">
      <pivotArea type="data" outline="0" fieldPosition="0">
        <references count="2">
          <reference field="4294967294" count="1" selected="0">
            <x v="0"/>
          </reference>
          <reference field="2" count="1" selected="0">
            <x v="63"/>
          </reference>
        </references>
      </pivotArea>
    </chartFormat>
    <chartFormat chart="40" format="73" series="1">
      <pivotArea type="data" outline="0" fieldPosition="0">
        <references count="2">
          <reference field="4294967294" count="1" selected="0">
            <x v="0"/>
          </reference>
          <reference field="2" count="1" selected="0">
            <x v="64"/>
          </reference>
        </references>
      </pivotArea>
    </chartFormat>
    <chartFormat chart="40" format="74" series="1">
      <pivotArea type="data" outline="0" fieldPosition="0">
        <references count="2">
          <reference field="4294967294" count="1" selected="0">
            <x v="0"/>
          </reference>
          <reference field="2" count="1" selected="0">
            <x v="65"/>
          </reference>
        </references>
      </pivotArea>
    </chartFormat>
    <chartFormat chart="40" format="75" series="1">
      <pivotArea type="data" outline="0" fieldPosition="0">
        <references count="2">
          <reference field="4294967294" count="1" selected="0">
            <x v="0"/>
          </reference>
          <reference field="2" count="1" selected="0">
            <x v="66"/>
          </reference>
        </references>
      </pivotArea>
    </chartFormat>
    <chartFormat chart="40" format="76" series="1">
      <pivotArea type="data" outline="0" fieldPosition="0">
        <references count="2">
          <reference field="4294967294" count="1" selected="0">
            <x v="0"/>
          </reference>
          <reference field="2" count="1" selected="0">
            <x v="67"/>
          </reference>
        </references>
      </pivotArea>
    </chartFormat>
    <chartFormat chart="40" format="77" series="1">
      <pivotArea type="data" outline="0" fieldPosition="0">
        <references count="2">
          <reference field="4294967294" count="1" selected="0">
            <x v="0"/>
          </reference>
          <reference field="2" count="1" selected="0">
            <x v="68"/>
          </reference>
        </references>
      </pivotArea>
    </chartFormat>
    <chartFormat chart="40" format="78" series="1">
      <pivotArea type="data" outline="0" fieldPosition="0">
        <references count="2">
          <reference field="4294967294" count="1" selected="0">
            <x v="0"/>
          </reference>
          <reference field="2" count="1" selected="0">
            <x v="69"/>
          </reference>
        </references>
      </pivotArea>
    </chartFormat>
    <chartFormat chart="40" format="79" series="1">
      <pivotArea type="data" outline="0" fieldPosition="0">
        <references count="2">
          <reference field="4294967294" count="1" selected="0">
            <x v="0"/>
          </reference>
          <reference field="2" count="1" selected="0">
            <x v="70"/>
          </reference>
        </references>
      </pivotArea>
    </chartFormat>
    <chartFormat chart="40" format="80" series="1">
      <pivotArea type="data" outline="0" fieldPosition="0">
        <references count="2">
          <reference field="4294967294" count="1" selected="0">
            <x v="0"/>
          </reference>
          <reference field="2" count="1" selected="0">
            <x v="71"/>
          </reference>
        </references>
      </pivotArea>
    </chartFormat>
    <chartFormat chart="40" format="81" series="1">
      <pivotArea type="data" outline="0" fieldPosition="0">
        <references count="2">
          <reference field="4294967294" count="1" selected="0">
            <x v="0"/>
          </reference>
          <reference field="2" count="1" selected="0">
            <x v="72"/>
          </reference>
        </references>
      </pivotArea>
    </chartFormat>
    <chartFormat chart="40" format="82" series="1">
      <pivotArea type="data" outline="0" fieldPosition="0">
        <references count="2">
          <reference field="4294967294" count="1" selected="0">
            <x v="0"/>
          </reference>
          <reference field="2" count="1" selected="0">
            <x v="73"/>
          </reference>
        </references>
      </pivotArea>
    </chartFormat>
    <chartFormat chart="40" format="83" series="1">
      <pivotArea type="data" outline="0" fieldPosition="0">
        <references count="2">
          <reference field="4294967294" count="1" selected="0">
            <x v="0"/>
          </reference>
          <reference field="2" count="1" selected="0">
            <x v="74"/>
          </reference>
        </references>
      </pivotArea>
    </chartFormat>
    <chartFormat chart="40" format="84" series="1">
      <pivotArea type="data" outline="0" fieldPosition="0">
        <references count="2">
          <reference field="4294967294" count="1" selected="0">
            <x v="0"/>
          </reference>
          <reference field="2" count="1" selected="0">
            <x v="75"/>
          </reference>
        </references>
      </pivotArea>
    </chartFormat>
    <chartFormat chart="40" format="85" series="1">
      <pivotArea type="data" outline="0" fieldPosition="0">
        <references count="2">
          <reference field="4294967294" count="1" selected="0">
            <x v="0"/>
          </reference>
          <reference field="2" count="1" selected="0">
            <x v="76"/>
          </reference>
        </references>
      </pivotArea>
    </chartFormat>
    <chartFormat chart="40" format="86" series="1">
      <pivotArea type="data" outline="0" fieldPosition="0">
        <references count="2">
          <reference field="4294967294" count="1" selected="0">
            <x v="0"/>
          </reference>
          <reference field="2" count="1" selected="0">
            <x v="77"/>
          </reference>
        </references>
      </pivotArea>
    </chartFormat>
    <chartFormat chart="40" format="87" series="1">
      <pivotArea type="data" outline="0" fieldPosition="0">
        <references count="2">
          <reference field="4294967294" count="1" selected="0">
            <x v="0"/>
          </reference>
          <reference field="2" count="1" selected="0">
            <x v="78"/>
          </reference>
        </references>
      </pivotArea>
    </chartFormat>
    <chartFormat chart="40" format="88" series="1">
      <pivotArea type="data" outline="0" fieldPosition="0">
        <references count="3">
          <reference field="4294967294" count="1" selected="0">
            <x v="0"/>
          </reference>
          <reference field="2" count="1" selected="0">
            <x v="41"/>
          </reference>
          <reference field="7" count="1" selected="0">
            <x v="0"/>
          </reference>
        </references>
      </pivotArea>
    </chartFormat>
    <chartFormat chart="40" format="89" series="1">
      <pivotArea type="data" outline="0" fieldPosition="0">
        <references count="3">
          <reference field="4294967294" count="1" selected="0">
            <x v="0"/>
          </reference>
          <reference field="2" count="1" selected="0">
            <x v="41"/>
          </reference>
          <reference field="7" count="1" selected="0">
            <x v="2"/>
          </reference>
        </references>
      </pivotArea>
    </chartFormat>
    <chartFormat chart="40" format="90" series="1">
      <pivotArea type="data" outline="0" fieldPosition="0">
        <references count="3">
          <reference field="4294967294" count="1" selected="0">
            <x v="0"/>
          </reference>
          <reference field="2" count="1" selected="0">
            <x v="42"/>
          </reference>
          <reference field="7" count="1" selected="0">
            <x v="0"/>
          </reference>
        </references>
      </pivotArea>
    </chartFormat>
    <chartFormat chart="40" format="91" series="1">
      <pivotArea type="data" outline="0" fieldPosition="0">
        <references count="3">
          <reference field="4294967294" count="1" selected="0">
            <x v="0"/>
          </reference>
          <reference field="2" count="1" selected="0">
            <x v="43"/>
          </reference>
          <reference field="7" count="1" selected="0">
            <x v="0"/>
          </reference>
        </references>
      </pivotArea>
    </chartFormat>
    <chartFormat chart="40" format="92" series="1">
      <pivotArea type="data" outline="0" fieldPosition="0">
        <references count="3">
          <reference field="4294967294" count="1" selected="0">
            <x v="0"/>
          </reference>
          <reference field="2" count="1" selected="0">
            <x v="43"/>
          </reference>
          <reference field="7" count="1" selected="0">
            <x v="2"/>
          </reference>
        </references>
      </pivotArea>
    </chartFormat>
    <chartFormat chart="40" format="93" series="1">
      <pivotArea type="data" outline="0" fieldPosition="0">
        <references count="3">
          <reference field="4294967294" count="1" selected="0">
            <x v="0"/>
          </reference>
          <reference field="2" count="1" selected="0">
            <x v="44"/>
          </reference>
          <reference field="7" count="1" selected="0">
            <x v="0"/>
          </reference>
        </references>
      </pivotArea>
    </chartFormat>
    <chartFormat chart="40" format="94" series="1">
      <pivotArea type="data" outline="0" fieldPosition="0">
        <references count="3">
          <reference field="4294967294" count="1" selected="0">
            <x v="0"/>
          </reference>
          <reference field="2" count="1" selected="0">
            <x v="44"/>
          </reference>
          <reference field="7" count="1" selected="0">
            <x v="2"/>
          </reference>
        </references>
      </pivotArea>
    </chartFormat>
    <chartFormat chart="40" format="95" series="1">
      <pivotArea type="data" outline="0" fieldPosition="0">
        <references count="3">
          <reference field="4294967294" count="1" selected="0">
            <x v="0"/>
          </reference>
          <reference field="2" count="1" selected="0">
            <x v="45"/>
          </reference>
          <reference field="7" count="1" selected="0">
            <x v="0"/>
          </reference>
        </references>
      </pivotArea>
    </chartFormat>
    <chartFormat chart="40" format="96" series="1">
      <pivotArea type="data" outline="0" fieldPosition="0">
        <references count="3">
          <reference field="4294967294" count="1" selected="0">
            <x v="0"/>
          </reference>
          <reference field="2" count="1" selected="0">
            <x v="45"/>
          </reference>
          <reference field="7" count="1" selected="0">
            <x v="2"/>
          </reference>
        </references>
      </pivotArea>
    </chartFormat>
    <chartFormat chart="40" format="97" series="1">
      <pivotArea type="data" outline="0" fieldPosition="0">
        <references count="3">
          <reference field="4294967294" count="1" selected="0">
            <x v="0"/>
          </reference>
          <reference field="2" count="1" selected="0">
            <x v="46"/>
          </reference>
          <reference field="7" count="1" selected="0">
            <x v="0"/>
          </reference>
        </references>
      </pivotArea>
    </chartFormat>
    <chartFormat chart="40" format="98" series="1">
      <pivotArea type="data" outline="0" fieldPosition="0">
        <references count="3">
          <reference field="4294967294" count="1" selected="0">
            <x v="0"/>
          </reference>
          <reference field="2" count="1" selected="0">
            <x v="46"/>
          </reference>
          <reference field="7" count="1" selected="0">
            <x v="2"/>
          </reference>
        </references>
      </pivotArea>
    </chartFormat>
    <chartFormat chart="40" format="99" series="1">
      <pivotArea type="data" outline="0" fieldPosition="0">
        <references count="3">
          <reference field="4294967294" count="1" selected="0">
            <x v="0"/>
          </reference>
          <reference field="2" count="1" selected="0">
            <x v="47"/>
          </reference>
          <reference field="7" count="1" selected="0">
            <x v="0"/>
          </reference>
        </references>
      </pivotArea>
    </chartFormat>
    <chartFormat chart="40" format="100" series="1">
      <pivotArea type="data" outline="0" fieldPosition="0">
        <references count="3">
          <reference field="4294967294" count="1" selected="0">
            <x v="0"/>
          </reference>
          <reference field="2" count="1" selected="0">
            <x v="47"/>
          </reference>
          <reference field="7" count="1" selected="0">
            <x v="2"/>
          </reference>
        </references>
      </pivotArea>
    </chartFormat>
    <chartFormat chart="40" format="101" series="1">
      <pivotArea type="data" outline="0" fieldPosition="0">
        <references count="3">
          <reference field="4294967294" count="1" selected="0">
            <x v="0"/>
          </reference>
          <reference field="2" count="1" selected="0">
            <x v="48"/>
          </reference>
          <reference field="7" count="1" selected="0">
            <x v="0"/>
          </reference>
        </references>
      </pivotArea>
    </chartFormat>
    <chartFormat chart="40" format="102" series="1">
      <pivotArea type="data" outline="0" fieldPosition="0">
        <references count="3">
          <reference field="4294967294" count="1" selected="0">
            <x v="0"/>
          </reference>
          <reference field="2" count="1" selected="0">
            <x v="48"/>
          </reference>
          <reference field="7" count="1" selected="0">
            <x v="2"/>
          </reference>
        </references>
      </pivotArea>
    </chartFormat>
    <chartFormat chart="40" format="103" series="1">
      <pivotArea type="data" outline="0" fieldPosition="0">
        <references count="3">
          <reference field="4294967294" count="1" selected="0">
            <x v="0"/>
          </reference>
          <reference field="2" count="1" selected="0">
            <x v="49"/>
          </reference>
          <reference field="7" count="1" selected="0">
            <x v="0"/>
          </reference>
        </references>
      </pivotArea>
    </chartFormat>
    <chartFormat chart="40" format="104" series="1">
      <pivotArea type="data" outline="0" fieldPosition="0">
        <references count="3">
          <reference field="4294967294" count="1" selected="0">
            <x v="0"/>
          </reference>
          <reference field="2" count="1" selected="0">
            <x v="49"/>
          </reference>
          <reference field="7" count="1" selected="0">
            <x v="2"/>
          </reference>
        </references>
      </pivotArea>
    </chartFormat>
    <chartFormat chart="40" format="105" series="1">
      <pivotArea type="data" outline="0" fieldPosition="0">
        <references count="3">
          <reference field="4294967294" count="1" selected="0">
            <x v="0"/>
          </reference>
          <reference field="2" count="1" selected="0">
            <x v="50"/>
          </reference>
          <reference field="7" count="1" selected="0">
            <x v="0"/>
          </reference>
        </references>
      </pivotArea>
    </chartFormat>
    <chartFormat chart="40" format="106" series="1">
      <pivotArea type="data" outline="0" fieldPosition="0">
        <references count="3">
          <reference field="4294967294" count="1" selected="0">
            <x v="0"/>
          </reference>
          <reference field="2" count="1" selected="0">
            <x v="50"/>
          </reference>
          <reference field="7" count="1" selected="0">
            <x v="2"/>
          </reference>
        </references>
      </pivotArea>
    </chartFormat>
    <chartFormat chart="40" format="107" series="1">
      <pivotArea type="data" outline="0" fieldPosition="0">
        <references count="3">
          <reference field="4294967294" count="1" selected="0">
            <x v="0"/>
          </reference>
          <reference field="2" count="1" selected="0">
            <x v="51"/>
          </reference>
          <reference field="7" count="1" selected="0">
            <x v="0"/>
          </reference>
        </references>
      </pivotArea>
    </chartFormat>
    <chartFormat chart="40" format="108" series="1">
      <pivotArea type="data" outline="0" fieldPosition="0">
        <references count="3">
          <reference field="4294967294" count="1" selected="0">
            <x v="0"/>
          </reference>
          <reference field="2" count="1" selected="0">
            <x v="51"/>
          </reference>
          <reference field="7" count="1" selected="0">
            <x v="2"/>
          </reference>
        </references>
      </pivotArea>
    </chartFormat>
    <chartFormat chart="40" format="109" series="1">
      <pivotArea type="data" outline="0" fieldPosition="0">
        <references count="3">
          <reference field="4294967294" count="1" selected="0">
            <x v="0"/>
          </reference>
          <reference field="2" count="1" selected="0">
            <x v="52"/>
          </reference>
          <reference field="7" count="1" selected="0">
            <x v="0"/>
          </reference>
        </references>
      </pivotArea>
    </chartFormat>
    <chartFormat chart="40" format="110" series="1">
      <pivotArea type="data" outline="0" fieldPosition="0">
        <references count="3">
          <reference field="4294967294" count="1" selected="0">
            <x v="0"/>
          </reference>
          <reference field="2" count="1" selected="0">
            <x v="52"/>
          </reference>
          <reference field="7" count="1" selected="0">
            <x v="2"/>
          </reference>
        </references>
      </pivotArea>
    </chartFormat>
    <chartFormat chart="40" format="111" series="1">
      <pivotArea type="data" outline="0" fieldPosition="0">
        <references count="3">
          <reference field="4294967294" count="1" selected="0">
            <x v="0"/>
          </reference>
          <reference field="2" count="1" selected="0">
            <x v="53"/>
          </reference>
          <reference field="7" count="1" selected="0">
            <x v="0"/>
          </reference>
        </references>
      </pivotArea>
    </chartFormat>
    <chartFormat chart="40" format="112" series="1">
      <pivotArea type="data" outline="0" fieldPosition="0">
        <references count="3">
          <reference field="4294967294" count="1" selected="0">
            <x v="0"/>
          </reference>
          <reference field="2" count="1" selected="0">
            <x v="53"/>
          </reference>
          <reference field="7" count="1" selected="0">
            <x v="2"/>
          </reference>
        </references>
      </pivotArea>
    </chartFormat>
    <chartFormat chart="40" format="113" series="1">
      <pivotArea type="data" outline="0" fieldPosition="0">
        <references count="3">
          <reference field="4294967294" count="1" selected="0">
            <x v="0"/>
          </reference>
          <reference field="2" count="1" selected="0">
            <x v="54"/>
          </reference>
          <reference field="7" count="1" selected="0">
            <x v="0"/>
          </reference>
        </references>
      </pivotArea>
    </chartFormat>
    <chartFormat chart="40" format="114" series="1">
      <pivotArea type="data" outline="0" fieldPosition="0">
        <references count="3">
          <reference field="4294967294" count="1" selected="0">
            <x v="0"/>
          </reference>
          <reference field="2" count="1" selected="0">
            <x v="54"/>
          </reference>
          <reference field="7" count="1" selected="0">
            <x v="2"/>
          </reference>
        </references>
      </pivotArea>
    </chartFormat>
    <chartFormat chart="40" format="115" series="1">
      <pivotArea type="data" outline="0" fieldPosition="0">
        <references count="3">
          <reference field="4294967294" count="1" selected="0">
            <x v="0"/>
          </reference>
          <reference field="2" count="1" selected="0">
            <x v="55"/>
          </reference>
          <reference field="7" count="1" selected="0">
            <x v="0"/>
          </reference>
        </references>
      </pivotArea>
    </chartFormat>
    <chartFormat chart="40" format="116" series="1">
      <pivotArea type="data" outline="0" fieldPosition="0">
        <references count="3">
          <reference field="4294967294" count="1" selected="0">
            <x v="0"/>
          </reference>
          <reference field="2" count="1" selected="0">
            <x v="55"/>
          </reference>
          <reference field="7" count="1" selected="0">
            <x v="2"/>
          </reference>
        </references>
      </pivotArea>
    </chartFormat>
    <chartFormat chart="40" format="117" series="1">
      <pivotArea type="data" outline="0" fieldPosition="0">
        <references count="3">
          <reference field="4294967294" count="1" selected="0">
            <x v="0"/>
          </reference>
          <reference field="2" count="1" selected="0">
            <x v="56"/>
          </reference>
          <reference field="7" count="1" selected="0">
            <x v="0"/>
          </reference>
        </references>
      </pivotArea>
    </chartFormat>
    <chartFormat chart="40" format="118" series="1">
      <pivotArea type="data" outline="0" fieldPosition="0">
        <references count="3">
          <reference field="4294967294" count="1" selected="0">
            <x v="0"/>
          </reference>
          <reference field="2" count="1" selected="0">
            <x v="56"/>
          </reference>
          <reference field="7" count="1" selected="0">
            <x v="2"/>
          </reference>
        </references>
      </pivotArea>
    </chartFormat>
    <chartFormat chart="40" format="119" series="1">
      <pivotArea type="data" outline="0" fieldPosition="0">
        <references count="3">
          <reference field="4294967294" count="1" selected="0">
            <x v="0"/>
          </reference>
          <reference field="2" count="1" selected="0">
            <x v="57"/>
          </reference>
          <reference field="7" count="1" selected="0">
            <x v="0"/>
          </reference>
        </references>
      </pivotArea>
    </chartFormat>
    <chartFormat chart="40" format="120" series="1">
      <pivotArea type="data" outline="0" fieldPosition="0">
        <references count="3">
          <reference field="4294967294" count="1" selected="0">
            <x v="0"/>
          </reference>
          <reference field="2" count="1" selected="0">
            <x v="57"/>
          </reference>
          <reference field="7" count="1" selected="0">
            <x v="2"/>
          </reference>
        </references>
      </pivotArea>
    </chartFormat>
    <chartFormat chart="40" format="121" series="1">
      <pivotArea type="data" outline="0" fieldPosition="0">
        <references count="3">
          <reference field="4294967294" count="1" selected="0">
            <x v="0"/>
          </reference>
          <reference field="2" count="1" selected="0">
            <x v="58"/>
          </reference>
          <reference field="7" count="1" selected="0">
            <x v="0"/>
          </reference>
        </references>
      </pivotArea>
    </chartFormat>
    <chartFormat chart="40" format="122" series="1">
      <pivotArea type="data" outline="0" fieldPosition="0">
        <references count="3">
          <reference field="4294967294" count="1" selected="0">
            <x v="0"/>
          </reference>
          <reference field="2" count="1" selected="0">
            <x v="58"/>
          </reference>
          <reference field="7" count="1" selected="0">
            <x v="2"/>
          </reference>
        </references>
      </pivotArea>
    </chartFormat>
    <chartFormat chart="40" format="123" series="1">
      <pivotArea type="data" outline="0" fieldPosition="0">
        <references count="3">
          <reference field="4294967294" count="1" selected="0">
            <x v="0"/>
          </reference>
          <reference field="2" count="1" selected="0">
            <x v="59"/>
          </reference>
          <reference field="7" count="1" selected="0">
            <x v="0"/>
          </reference>
        </references>
      </pivotArea>
    </chartFormat>
    <chartFormat chart="40" format="124" series="1">
      <pivotArea type="data" outline="0" fieldPosition="0">
        <references count="3">
          <reference field="4294967294" count="1" selected="0">
            <x v="0"/>
          </reference>
          <reference field="2" count="1" selected="0">
            <x v="59"/>
          </reference>
          <reference field="7" count="1" selected="0">
            <x v="2"/>
          </reference>
        </references>
      </pivotArea>
    </chartFormat>
    <chartFormat chart="40" format="125" series="1">
      <pivotArea type="data" outline="0" fieldPosition="0">
        <references count="3">
          <reference field="4294967294" count="1" selected="0">
            <x v="0"/>
          </reference>
          <reference field="2" count="1" selected="0">
            <x v="60"/>
          </reference>
          <reference field="7" count="1" selected="0">
            <x v="0"/>
          </reference>
        </references>
      </pivotArea>
    </chartFormat>
    <chartFormat chart="40" format="126" series="1">
      <pivotArea type="data" outline="0" fieldPosition="0">
        <references count="3">
          <reference field="4294967294" count="1" selected="0">
            <x v="0"/>
          </reference>
          <reference field="2" count="1" selected="0">
            <x v="60"/>
          </reference>
          <reference field="7" count="1" selected="0">
            <x v="2"/>
          </reference>
        </references>
      </pivotArea>
    </chartFormat>
    <chartFormat chart="40" format="127" series="1">
      <pivotArea type="data" outline="0" fieldPosition="0">
        <references count="3">
          <reference field="4294967294" count="1" selected="0">
            <x v="0"/>
          </reference>
          <reference field="2" count="1" selected="0">
            <x v="61"/>
          </reference>
          <reference field="7" count="1" selected="0">
            <x v="0"/>
          </reference>
        </references>
      </pivotArea>
    </chartFormat>
    <chartFormat chart="40" format="128" series="1">
      <pivotArea type="data" outline="0" fieldPosition="0">
        <references count="3">
          <reference field="4294967294" count="1" selected="0">
            <x v="0"/>
          </reference>
          <reference field="2" count="1" selected="0">
            <x v="61"/>
          </reference>
          <reference field="7" count="1" selected="0">
            <x v="2"/>
          </reference>
        </references>
      </pivotArea>
    </chartFormat>
    <chartFormat chart="40" format="129" series="1">
      <pivotArea type="data" outline="0" fieldPosition="0">
        <references count="3">
          <reference field="4294967294" count="1" selected="0">
            <x v="0"/>
          </reference>
          <reference field="2" count="1" selected="0">
            <x v="62"/>
          </reference>
          <reference field="7" count="1" selected="0">
            <x v="0"/>
          </reference>
        </references>
      </pivotArea>
    </chartFormat>
    <chartFormat chart="40" format="130" series="1">
      <pivotArea type="data" outline="0" fieldPosition="0">
        <references count="3">
          <reference field="4294967294" count="1" selected="0">
            <x v="0"/>
          </reference>
          <reference field="2" count="1" selected="0">
            <x v="62"/>
          </reference>
          <reference field="7" count="1" selected="0">
            <x v="2"/>
          </reference>
        </references>
      </pivotArea>
    </chartFormat>
    <chartFormat chart="40" format="131" series="1">
      <pivotArea type="data" outline="0" fieldPosition="0">
        <references count="3">
          <reference field="4294967294" count="1" selected="0">
            <x v="0"/>
          </reference>
          <reference field="2" count="1" selected="0">
            <x v="63"/>
          </reference>
          <reference field="7" count="1" selected="0">
            <x v="0"/>
          </reference>
        </references>
      </pivotArea>
    </chartFormat>
    <chartFormat chart="40" format="132" series="1">
      <pivotArea type="data" outline="0" fieldPosition="0">
        <references count="3">
          <reference field="4294967294" count="1" selected="0">
            <x v="0"/>
          </reference>
          <reference field="2" count="1" selected="0">
            <x v="63"/>
          </reference>
          <reference field="7" count="1" selected="0">
            <x v="2"/>
          </reference>
        </references>
      </pivotArea>
    </chartFormat>
    <chartFormat chart="40" format="133" series="1">
      <pivotArea type="data" outline="0" fieldPosition="0">
        <references count="3">
          <reference field="4294967294" count="1" selected="0">
            <x v="0"/>
          </reference>
          <reference field="2" count="1" selected="0">
            <x v="64"/>
          </reference>
          <reference field="7" count="1" selected="0">
            <x v="2"/>
          </reference>
        </references>
      </pivotArea>
    </chartFormat>
    <chartFormat chart="40" format="134" series="1">
      <pivotArea type="data" outline="0" fieldPosition="0">
        <references count="3">
          <reference field="4294967294" count="1" selected="0">
            <x v="0"/>
          </reference>
          <reference field="2" count="1" selected="0">
            <x v="65"/>
          </reference>
          <reference field="7" count="1" selected="0">
            <x v="0"/>
          </reference>
        </references>
      </pivotArea>
    </chartFormat>
    <chartFormat chart="40" format="135" series="1">
      <pivotArea type="data" outline="0" fieldPosition="0">
        <references count="3">
          <reference field="4294967294" count="1" selected="0">
            <x v="0"/>
          </reference>
          <reference field="2" count="1" selected="0">
            <x v="66"/>
          </reference>
          <reference field="7" count="1" selected="0">
            <x v="0"/>
          </reference>
        </references>
      </pivotArea>
    </chartFormat>
    <chartFormat chart="40" format="136" series="1">
      <pivotArea type="data" outline="0" fieldPosition="0">
        <references count="3">
          <reference field="4294967294" count="1" selected="0">
            <x v="0"/>
          </reference>
          <reference field="2" count="1" selected="0">
            <x v="66"/>
          </reference>
          <reference field="7" count="1" selected="0">
            <x v="2"/>
          </reference>
        </references>
      </pivotArea>
    </chartFormat>
    <chartFormat chart="40" format="137" series="1">
      <pivotArea type="data" outline="0" fieldPosition="0">
        <references count="3">
          <reference field="4294967294" count="1" selected="0">
            <x v="0"/>
          </reference>
          <reference field="2" count="1" selected="0">
            <x v="67"/>
          </reference>
          <reference field="7" count="1" selected="0">
            <x v="0"/>
          </reference>
        </references>
      </pivotArea>
    </chartFormat>
    <chartFormat chart="40" format="138" series="1">
      <pivotArea type="data" outline="0" fieldPosition="0">
        <references count="3">
          <reference field="4294967294" count="1" selected="0">
            <x v="0"/>
          </reference>
          <reference field="2" count="1" selected="0">
            <x v="67"/>
          </reference>
          <reference field="7" count="1" selected="0">
            <x v="2"/>
          </reference>
        </references>
      </pivotArea>
    </chartFormat>
    <chartFormat chart="40" format="139" series="1">
      <pivotArea type="data" outline="0" fieldPosition="0">
        <references count="3">
          <reference field="4294967294" count="1" selected="0">
            <x v="0"/>
          </reference>
          <reference field="2" count="1" selected="0">
            <x v="68"/>
          </reference>
          <reference field="7" count="1" selected="0">
            <x v="0"/>
          </reference>
        </references>
      </pivotArea>
    </chartFormat>
    <chartFormat chart="40" format="140" series="1">
      <pivotArea type="data" outline="0" fieldPosition="0">
        <references count="3">
          <reference field="4294967294" count="1" selected="0">
            <x v="0"/>
          </reference>
          <reference field="2" count="1" selected="0">
            <x v="68"/>
          </reference>
          <reference field="7" count="1" selected="0">
            <x v="2"/>
          </reference>
        </references>
      </pivotArea>
    </chartFormat>
    <chartFormat chart="40" format="141" series="1">
      <pivotArea type="data" outline="0" fieldPosition="0">
        <references count="3">
          <reference field="4294967294" count="1" selected="0">
            <x v="0"/>
          </reference>
          <reference field="2" count="1" selected="0">
            <x v="69"/>
          </reference>
          <reference field="7" count="1" selected="0">
            <x v="2"/>
          </reference>
        </references>
      </pivotArea>
    </chartFormat>
    <chartFormat chart="40" format="142" series="1">
      <pivotArea type="data" outline="0" fieldPosition="0">
        <references count="3">
          <reference field="4294967294" count="1" selected="0">
            <x v="0"/>
          </reference>
          <reference field="2" count="1" selected="0">
            <x v="70"/>
          </reference>
          <reference field="7" count="1" selected="0">
            <x v="0"/>
          </reference>
        </references>
      </pivotArea>
    </chartFormat>
    <chartFormat chart="40" format="143" series="1">
      <pivotArea type="data" outline="0" fieldPosition="0">
        <references count="3">
          <reference field="4294967294" count="1" selected="0">
            <x v="0"/>
          </reference>
          <reference field="2" count="1" selected="0">
            <x v="70"/>
          </reference>
          <reference field="7" count="1" selected="0">
            <x v="2"/>
          </reference>
        </references>
      </pivotArea>
    </chartFormat>
    <chartFormat chart="40" format="144" series="1">
      <pivotArea type="data" outline="0" fieldPosition="0">
        <references count="3">
          <reference field="4294967294" count="1" selected="0">
            <x v="0"/>
          </reference>
          <reference field="2" count="1" selected="0">
            <x v="71"/>
          </reference>
          <reference field="7" count="1" selected="0">
            <x v="0"/>
          </reference>
        </references>
      </pivotArea>
    </chartFormat>
    <chartFormat chart="40" format="145" series="1">
      <pivotArea type="data" outline="0" fieldPosition="0">
        <references count="3">
          <reference field="4294967294" count="1" selected="0">
            <x v="0"/>
          </reference>
          <reference field="2" count="1" selected="0">
            <x v="71"/>
          </reference>
          <reference field="7" count="1" selected="0">
            <x v="2"/>
          </reference>
        </references>
      </pivotArea>
    </chartFormat>
    <chartFormat chart="40" format="146" series="1">
      <pivotArea type="data" outline="0" fieldPosition="0">
        <references count="3">
          <reference field="4294967294" count="1" selected="0">
            <x v="0"/>
          </reference>
          <reference field="2" count="1" selected="0">
            <x v="72"/>
          </reference>
          <reference field="7" count="1" selected="0">
            <x v="0"/>
          </reference>
        </references>
      </pivotArea>
    </chartFormat>
    <chartFormat chart="40" format="147" series="1">
      <pivotArea type="data" outline="0" fieldPosition="0">
        <references count="3">
          <reference field="4294967294" count="1" selected="0">
            <x v="0"/>
          </reference>
          <reference field="2" count="1" selected="0">
            <x v="72"/>
          </reference>
          <reference field="7" count="1" selected="0">
            <x v="2"/>
          </reference>
        </references>
      </pivotArea>
    </chartFormat>
    <chartFormat chart="40" format="148" series="1">
      <pivotArea type="data" outline="0" fieldPosition="0">
        <references count="3">
          <reference field="4294967294" count="1" selected="0">
            <x v="0"/>
          </reference>
          <reference field="2" count="1" selected="0">
            <x v="73"/>
          </reference>
          <reference field="7" count="1" selected="0">
            <x v="0"/>
          </reference>
        </references>
      </pivotArea>
    </chartFormat>
    <chartFormat chart="40" format="149" series="1">
      <pivotArea type="data" outline="0" fieldPosition="0">
        <references count="3">
          <reference field="4294967294" count="1" selected="0">
            <x v="0"/>
          </reference>
          <reference field="2" count="1" selected="0">
            <x v="73"/>
          </reference>
          <reference field="7" count="1" selected="0">
            <x v="2"/>
          </reference>
        </references>
      </pivotArea>
    </chartFormat>
    <chartFormat chart="40" format="150" series="1">
      <pivotArea type="data" outline="0" fieldPosition="0">
        <references count="3">
          <reference field="4294967294" count="1" selected="0">
            <x v="0"/>
          </reference>
          <reference field="2" count="1" selected="0">
            <x v="74"/>
          </reference>
          <reference field="7" count="1" selected="0">
            <x v="0"/>
          </reference>
        </references>
      </pivotArea>
    </chartFormat>
    <chartFormat chart="40" format="151" series="1">
      <pivotArea type="data" outline="0" fieldPosition="0">
        <references count="3">
          <reference field="4294967294" count="1" selected="0">
            <x v="0"/>
          </reference>
          <reference field="2" count="1" selected="0">
            <x v="74"/>
          </reference>
          <reference field="7" count="1" selected="0">
            <x v="2"/>
          </reference>
        </references>
      </pivotArea>
    </chartFormat>
    <chartFormat chart="40" format="152" series="1">
      <pivotArea type="data" outline="0" fieldPosition="0">
        <references count="3">
          <reference field="4294967294" count="1" selected="0">
            <x v="0"/>
          </reference>
          <reference field="2" count="1" selected="0">
            <x v="75"/>
          </reference>
          <reference field="7" count="1" selected="0">
            <x v="0"/>
          </reference>
        </references>
      </pivotArea>
    </chartFormat>
    <chartFormat chart="40" format="153" series="1">
      <pivotArea type="data" outline="0" fieldPosition="0">
        <references count="3">
          <reference field="4294967294" count="1" selected="0">
            <x v="0"/>
          </reference>
          <reference field="2" count="1" selected="0">
            <x v="75"/>
          </reference>
          <reference field="7" count="1" selected="0">
            <x v="2"/>
          </reference>
        </references>
      </pivotArea>
    </chartFormat>
    <chartFormat chart="40" format="154" series="1">
      <pivotArea type="data" outline="0" fieldPosition="0">
        <references count="3">
          <reference field="4294967294" count="1" selected="0">
            <x v="0"/>
          </reference>
          <reference field="2" count="1" selected="0">
            <x v="76"/>
          </reference>
          <reference field="7" count="1" selected="0">
            <x v="0"/>
          </reference>
        </references>
      </pivotArea>
    </chartFormat>
    <chartFormat chart="40" format="155" series="1">
      <pivotArea type="data" outline="0" fieldPosition="0">
        <references count="3">
          <reference field="4294967294" count="1" selected="0">
            <x v="0"/>
          </reference>
          <reference field="2" count="1" selected="0">
            <x v="76"/>
          </reference>
          <reference field="7" count="1" selected="0">
            <x v="2"/>
          </reference>
        </references>
      </pivotArea>
    </chartFormat>
    <chartFormat chart="40" format="156" series="1">
      <pivotArea type="data" outline="0" fieldPosition="0">
        <references count="3">
          <reference field="4294967294" count="1" selected="0">
            <x v="0"/>
          </reference>
          <reference field="2" count="1" selected="0">
            <x v="77"/>
          </reference>
          <reference field="7" count="1" selected="0">
            <x v="0"/>
          </reference>
        </references>
      </pivotArea>
    </chartFormat>
    <chartFormat chart="40" format="157" series="1">
      <pivotArea type="data" outline="0" fieldPosition="0">
        <references count="3">
          <reference field="4294967294" count="1" selected="0">
            <x v="0"/>
          </reference>
          <reference field="2" count="1" selected="0">
            <x v="77"/>
          </reference>
          <reference field="7" count="1" selected="0">
            <x v="2"/>
          </reference>
        </references>
      </pivotArea>
    </chartFormat>
    <chartFormat chart="40" format="158" series="1">
      <pivotArea type="data" outline="0" fieldPosition="0">
        <references count="3">
          <reference field="4294967294" count="1" selected="0">
            <x v="0"/>
          </reference>
          <reference field="2" count="1" selected="0">
            <x v="78"/>
          </reference>
          <reference field="7" count="1" selected="0">
            <x v="0"/>
          </reference>
        </references>
      </pivotArea>
    </chartFormat>
    <chartFormat chart="40" format="159" series="1">
      <pivotArea type="data" outline="0" fieldPosition="0">
        <references count="3">
          <reference field="4294967294" count="1" selected="0">
            <x v="0"/>
          </reference>
          <reference field="2" count="1" selected="0">
            <x v="78"/>
          </reference>
          <reference field="7" count="1" selected="0">
            <x v="2"/>
          </reference>
        </references>
      </pivotArea>
    </chartFormat>
    <chartFormat chart="40" format="160" series="1">
      <pivotArea type="data" outline="0" fieldPosition="0">
        <references count="2">
          <reference field="4294967294" count="1" selected="0">
            <x v="0"/>
          </reference>
          <reference field="7" count="1" selected="0">
            <x v="2"/>
          </reference>
        </references>
      </pivotArea>
    </chartFormat>
    <chartFormat chart="40" format="177"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2346A6-B81C-4C80-88F0-9F9524499ACB}"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9">
  <location ref="B20:C25" firstHeaderRow="1" firstDataRow="1" firstDataCol="1"/>
  <pivotFields count="11">
    <pivotField compact="0" outline="0" showAll="0" defaultSubtotal="0"/>
    <pivotField compact="0" numFmtId="164" outline="0" showAll="0" defaultSubtotal="0">
      <items count="264">
        <item x="244"/>
        <item x="57"/>
        <item x="196"/>
        <item x="107"/>
        <item x="200"/>
        <item x="84"/>
        <item x="261"/>
        <item x="122"/>
        <item x="45"/>
        <item x="80"/>
        <item x="262"/>
        <item x="197"/>
        <item x="206"/>
        <item x="224"/>
        <item x="6"/>
        <item x="23"/>
        <item x="259"/>
        <item x="219"/>
        <item x="193"/>
        <item x="92"/>
        <item x="120"/>
        <item x="96"/>
        <item x="53"/>
        <item x="121"/>
        <item x="179"/>
        <item x="190"/>
        <item x="169"/>
        <item x="78"/>
        <item x="64"/>
        <item x="129"/>
        <item x="199"/>
        <item x="236"/>
        <item x="97"/>
        <item x="27"/>
        <item x="56"/>
        <item x="32"/>
        <item x="115"/>
        <item x="49"/>
        <item x="58"/>
        <item x="34"/>
        <item x="209"/>
        <item x="176"/>
        <item x="98"/>
        <item x="86"/>
        <item x="82"/>
        <item x="128"/>
        <item x="186"/>
        <item x="254"/>
        <item x="4"/>
        <item x="181"/>
        <item x="250"/>
        <item x="55"/>
        <item x="126"/>
        <item x="10"/>
        <item x="43"/>
        <item x="51"/>
        <item x="255"/>
        <item x="203"/>
        <item x="116"/>
        <item x="162"/>
        <item x="159"/>
        <item x="101"/>
        <item x="11"/>
        <item x="105"/>
        <item x="0"/>
        <item x="182"/>
        <item x="59"/>
        <item x="3"/>
        <item x="232"/>
        <item x="175"/>
        <item x="146"/>
        <item x="211"/>
        <item x="136"/>
        <item x="247"/>
        <item x="180"/>
        <item x="135"/>
        <item x="7"/>
        <item x="157"/>
        <item x="163"/>
        <item x="230"/>
        <item x="152"/>
        <item x="214"/>
        <item x="132"/>
        <item x="170"/>
        <item x="148"/>
        <item x="37"/>
        <item x="130"/>
        <item x="39"/>
        <item x="85"/>
        <item x="140"/>
        <item x="87"/>
        <item x="178"/>
        <item x="226"/>
        <item x="118"/>
        <item x="161"/>
        <item x="239"/>
        <item x="166"/>
        <item x="165"/>
        <item x="14"/>
        <item x="172"/>
        <item x="13"/>
        <item x="183"/>
        <item x="251"/>
        <item x="215"/>
        <item x="79"/>
        <item x="198"/>
        <item x="123"/>
        <item x="21"/>
        <item x="65"/>
        <item x="88"/>
        <item x="142"/>
        <item x="41"/>
        <item x="185"/>
        <item x="28"/>
        <item x="119"/>
        <item x="102"/>
        <item x="223"/>
        <item x="210"/>
        <item x="31"/>
        <item x="188"/>
        <item x="112"/>
        <item x="145"/>
        <item x="202"/>
        <item x="156"/>
        <item x="252"/>
        <item x="229"/>
        <item x="124"/>
        <item x="29"/>
        <item x="5"/>
        <item x="30"/>
        <item x="62"/>
        <item x="19"/>
        <item x="184"/>
        <item x="187"/>
        <item x="233"/>
        <item x="139"/>
        <item x="167"/>
        <item x="93"/>
        <item x="66"/>
        <item x="155"/>
        <item x="256"/>
        <item x="54"/>
        <item x="111"/>
        <item x="73"/>
        <item x="72"/>
        <item x="103"/>
        <item x="8"/>
        <item x="99"/>
        <item x="77"/>
        <item x="63"/>
        <item x="149"/>
        <item x="117"/>
        <item x="208"/>
        <item x="151"/>
        <item x="134"/>
        <item x="194"/>
        <item x="104"/>
        <item x="242"/>
        <item x="191"/>
        <item x="91"/>
        <item x="137"/>
        <item x="143"/>
        <item x="25"/>
        <item x="74"/>
        <item x="189"/>
        <item x="245"/>
        <item x="160"/>
        <item x="114"/>
        <item x="46"/>
        <item x="125"/>
        <item x="35"/>
        <item x="218"/>
        <item x="153"/>
        <item x="260"/>
        <item x="70"/>
        <item x="24"/>
        <item x="177"/>
        <item x="108"/>
        <item x="204"/>
        <item x="106"/>
        <item x="16"/>
        <item x="138"/>
        <item x="60"/>
        <item x="90"/>
        <item x="234"/>
        <item x="174"/>
        <item x="52"/>
        <item x="47"/>
        <item x="171"/>
        <item x="95"/>
        <item x="238"/>
        <item x="67"/>
        <item x="2"/>
        <item x="248"/>
        <item x="216"/>
        <item x="42"/>
        <item x="241"/>
        <item x="20"/>
        <item x="249"/>
        <item x="243"/>
        <item x="76"/>
        <item x="207"/>
        <item x="110"/>
        <item x="127"/>
        <item x="253"/>
        <item x="131"/>
        <item x="212"/>
        <item x="89"/>
        <item x="246"/>
        <item x="100"/>
        <item x="18"/>
        <item x="147"/>
        <item x="71"/>
        <item x="173"/>
        <item x="217"/>
        <item x="81"/>
        <item x="201"/>
        <item x="69"/>
        <item x="231"/>
        <item x="221"/>
        <item x="38"/>
        <item x="168"/>
        <item x="15"/>
        <item x="61"/>
        <item x="237"/>
        <item x="222"/>
        <item x="22"/>
        <item x="144"/>
        <item x="44"/>
        <item x="195"/>
        <item x="141"/>
        <item x="240"/>
        <item x="36"/>
        <item x="225"/>
        <item x="228"/>
        <item x="205"/>
        <item x="154"/>
        <item x="158"/>
        <item x="164"/>
        <item x="83"/>
        <item x="94"/>
        <item x="40"/>
        <item x="9"/>
        <item x="263"/>
        <item x="75"/>
        <item x="50"/>
        <item x="257"/>
        <item x="213"/>
        <item x="150"/>
        <item x="17"/>
        <item x="26"/>
        <item x="48"/>
        <item x="133"/>
        <item x="1"/>
        <item x="235"/>
        <item x="68"/>
        <item x="113"/>
        <item x="227"/>
        <item x="220"/>
        <item x="258"/>
        <item x="109"/>
        <item x="12"/>
        <item x="33"/>
        <item x="192"/>
      </items>
    </pivotField>
    <pivotField axis="axisRow" compact="0" outline="0" showAll="0" measureFilter="1" sortType="descending" defaultSubtotal="0">
      <items count="79">
        <item x="63"/>
        <item x="25"/>
        <item x="74"/>
        <item x="3"/>
        <item x="15"/>
        <item x="50"/>
        <item x="70"/>
        <item x="43"/>
        <item x="34"/>
        <item x="52"/>
        <item x="36"/>
        <item x="0"/>
        <item x="61"/>
        <item x="24"/>
        <item x="76"/>
        <item x="29"/>
        <item x="2"/>
        <item x="45"/>
        <item x="18"/>
        <item x="54"/>
        <item x="40"/>
        <item x="14"/>
        <item x="64"/>
        <item x="33"/>
        <item x="59"/>
        <item x="1"/>
        <item x="6"/>
        <item x="19"/>
        <item x="5"/>
        <item x="23"/>
        <item x="31"/>
        <item x="55"/>
        <item x="48"/>
        <item x="57"/>
        <item x="53"/>
        <item x="72"/>
        <item x="49"/>
        <item x="9"/>
        <item x="13"/>
        <item x="56"/>
        <item x="16"/>
        <item x="69"/>
        <item x="77"/>
        <item x="28"/>
        <item x="51"/>
        <item x="4"/>
        <item x="8"/>
        <item x="42"/>
        <item x="46"/>
        <item x="60"/>
        <item x="32"/>
        <item x="67"/>
        <item x="47"/>
        <item x="21"/>
        <item x="35"/>
        <item x="68"/>
        <item x="71"/>
        <item x="7"/>
        <item x="30"/>
        <item x="66"/>
        <item x="27"/>
        <item x="11"/>
        <item x="73"/>
        <item x="10"/>
        <item x="78"/>
        <item x="44"/>
        <item x="20"/>
        <item x="58"/>
        <item x="39"/>
        <item x="62"/>
        <item x="26"/>
        <item x="12"/>
        <item x="22"/>
        <item x="37"/>
        <item x="65"/>
        <item x="41"/>
        <item x="75"/>
        <item x="17"/>
        <item x="38"/>
      </items>
      <autoSortScope>
        <pivotArea dataOnly="0" outline="0" fieldPosition="0">
          <references count="1">
            <reference field="4294967294" count="1" selected="0">
              <x v="0"/>
            </reference>
          </references>
        </pivotArea>
      </autoSortScope>
    </pivotField>
    <pivotField compact="0" outline="0" showAll="0" sortType="descending" defaultSubtotal="0">
      <items count="7">
        <item x="5"/>
        <item x="0"/>
        <item x="3"/>
        <item x="2"/>
        <item x="6"/>
        <item x="1"/>
        <item x="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items count="3">
        <item x="1"/>
        <item x="2"/>
        <item x="0"/>
      </items>
    </pivotField>
    <pivotField dataField="1" compact="0" outline="0" showAll="0" defaultSubtotal="0"/>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defaultSubtotal="0">
      <items count="14">
        <item x="0"/>
        <item x="1"/>
        <item x="2"/>
        <item x="3"/>
        <item x="4"/>
        <item x="5"/>
        <item x="6"/>
        <item x="7"/>
        <item x="8"/>
        <item x="9"/>
        <item x="10"/>
        <item x="11"/>
        <item x="12"/>
        <item x="13"/>
      </items>
    </pivotField>
  </pivotFields>
  <rowFields count="1">
    <field x="2"/>
  </rowFields>
  <rowItems count="5">
    <i>
      <x v="44"/>
    </i>
    <i>
      <x v="72"/>
    </i>
    <i>
      <x v="46"/>
    </i>
    <i>
      <x v="29"/>
    </i>
    <i>
      <x v="32"/>
    </i>
  </rowItems>
  <colItems count="1">
    <i/>
  </colItems>
  <dataFields count="1">
    <dataField name="Sum of Total_Sales" fld="8" baseField="0" baseItem="0" numFmtId="167"/>
  </dataFields>
  <formats count="2">
    <format dxfId="9">
      <pivotArea dataOnly="0" labelOnly="1" outline="0" axis="axisValues" fieldPosition="0"/>
    </format>
    <format dxfId="8">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CB5AD8-25D6-4902-8102-6F1718236360}" name="PivotTable4"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3">
  <location ref="F75:H84" firstHeaderRow="1" firstDataRow="2" firstDataCol="1"/>
  <pivotFields count="11">
    <pivotField multipleItemSelectionAllowed="1" showAll="0">
      <items count="4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t="default"/>
      </items>
    </pivotField>
    <pivotField numFmtId="164" showAll="0">
      <items count="265">
        <item x="244"/>
        <item x="57"/>
        <item x="196"/>
        <item x="107"/>
        <item x="200"/>
        <item x="84"/>
        <item x="261"/>
        <item x="122"/>
        <item x="45"/>
        <item x="80"/>
        <item x="262"/>
        <item x="197"/>
        <item x="206"/>
        <item x="224"/>
        <item x="6"/>
        <item x="23"/>
        <item x="259"/>
        <item x="219"/>
        <item x="193"/>
        <item x="92"/>
        <item x="120"/>
        <item x="96"/>
        <item x="53"/>
        <item x="121"/>
        <item x="179"/>
        <item x="190"/>
        <item x="169"/>
        <item x="78"/>
        <item x="64"/>
        <item x="129"/>
        <item x="199"/>
        <item x="236"/>
        <item x="97"/>
        <item x="27"/>
        <item x="56"/>
        <item x="32"/>
        <item x="115"/>
        <item x="49"/>
        <item x="58"/>
        <item x="34"/>
        <item x="209"/>
        <item x="176"/>
        <item x="98"/>
        <item x="86"/>
        <item x="82"/>
        <item x="128"/>
        <item x="186"/>
        <item x="254"/>
        <item x="4"/>
        <item x="181"/>
        <item x="250"/>
        <item x="55"/>
        <item x="126"/>
        <item x="10"/>
        <item x="43"/>
        <item x="51"/>
        <item x="255"/>
        <item x="203"/>
        <item x="116"/>
        <item x="162"/>
        <item x="159"/>
        <item x="101"/>
        <item x="11"/>
        <item x="105"/>
        <item x="0"/>
        <item x="182"/>
        <item x="59"/>
        <item x="3"/>
        <item x="232"/>
        <item x="175"/>
        <item x="146"/>
        <item x="211"/>
        <item x="136"/>
        <item x="247"/>
        <item x="180"/>
        <item x="135"/>
        <item x="7"/>
        <item x="157"/>
        <item x="163"/>
        <item x="230"/>
        <item x="152"/>
        <item x="214"/>
        <item x="132"/>
        <item x="170"/>
        <item x="148"/>
        <item x="37"/>
        <item x="130"/>
        <item x="39"/>
        <item x="85"/>
        <item x="140"/>
        <item x="87"/>
        <item x="178"/>
        <item x="226"/>
        <item x="118"/>
        <item x="161"/>
        <item x="239"/>
        <item x="166"/>
        <item x="165"/>
        <item x="14"/>
        <item x="172"/>
        <item x="13"/>
        <item x="183"/>
        <item x="251"/>
        <item x="215"/>
        <item x="79"/>
        <item x="198"/>
        <item x="123"/>
        <item x="21"/>
        <item x="65"/>
        <item x="88"/>
        <item x="142"/>
        <item x="41"/>
        <item x="185"/>
        <item x="28"/>
        <item x="119"/>
        <item x="102"/>
        <item x="223"/>
        <item x="210"/>
        <item x="31"/>
        <item x="188"/>
        <item x="112"/>
        <item x="145"/>
        <item x="202"/>
        <item x="156"/>
        <item x="252"/>
        <item x="229"/>
        <item x="124"/>
        <item x="29"/>
        <item x="5"/>
        <item x="30"/>
        <item x="62"/>
        <item x="19"/>
        <item x="184"/>
        <item x="187"/>
        <item x="233"/>
        <item x="139"/>
        <item x="167"/>
        <item x="93"/>
        <item x="66"/>
        <item x="155"/>
        <item x="256"/>
        <item x="54"/>
        <item x="111"/>
        <item x="73"/>
        <item x="72"/>
        <item x="103"/>
        <item x="8"/>
        <item x="99"/>
        <item x="77"/>
        <item x="63"/>
        <item x="149"/>
        <item x="117"/>
        <item x="208"/>
        <item x="151"/>
        <item x="134"/>
        <item x="194"/>
        <item x="104"/>
        <item x="242"/>
        <item x="191"/>
        <item x="91"/>
        <item x="137"/>
        <item x="143"/>
        <item x="25"/>
        <item x="74"/>
        <item x="189"/>
        <item x="245"/>
        <item x="160"/>
        <item x="114"/>
        <item x="46"/>
        <item x="125"/>
        <item x="35"/>
        <item x="218"/>
        <item x="153"/>
        <item x="260"/>
        <item x="70"/>
        <item x="24"/>
        <item x="177"/>
        <item x="108"/>
        <item x="204"/>
        <item x="106"/>
        <item x="16"/>
        <item x="138"/>
        <item x="60"/>
        <item x="90"/>
        <item x="234"/>
        <item x="174"/>
        <item x="52"/>
        <item x="47"/>
        <item x="171"/>
        <item x="95"/>
        <item x="238"/>
        <item x="67"/>
        <item x="2"/>
        <item x="248"/>
        <item x="216"/>
        <item x="42"/>
        <item x="241"/>
        <item x="20"/>
        <item x="249"/>
        <item x="243"/>
        <item x="76"/>
        <item x="207"/>
        <item x="110"/>
        <item x="127"/>
        <item x="253"/>
        <item x="131"/>
        <item x="212"/>
        <item x="89"/>
        <item x="246"/>
        <item x="100"/>
        <item x="18"/>
        <item x="147"/>
        <item x="71"/>
        <item x="173"/>
        <item x="217"/>
        <item x="81"/>
        <item x="201"/>
        <item x="69"/>
        <item x="231"/>
        <item x="221"/>
        <item x="38"/>
        <item x="168"/>
        <item x="15"/>
        <item x="61"/>
        <item x="237"/>
        <item x="222"/>
        <item x="22"/>
        <item x="144"/>
        <item x="44"/>
        <item x="195"/>
        <item x="141"/>
        <item x="240"/>
        <item x="36"/>
        <item x="225"/>
        <item x="228"/>
        <item x="205"/>
        <item x="154"/>
        <item x="158"/>
        <item x="164"/>
        <item x="83"/>
        <item x="94"/>
        <item x="40"/>
        <item x="9"/>
        <item x="263"/>
        <item x="75"/>
        <item x="50"/>
        <item x="257"/>
        <item x="213"/>
        <item x="150"/>
        <item x="17"/>
        <item x="26"/>
        <item x="48"/>
        <item x="133"/>
        <item x="1"/>
        <item x="235"/>
        <item x="68"/>
        <item x="113"/>
        <item x="227"/>
        <item x="220"/>
        <item x="258"/>
        <item x="109"/>
        <item x="12"/>
        <item x="33"/>
        <item x="192"/>
        <item t="default"/>
      </items>
    </pivotField>
    <pivotField showAll="0">
      <items count="80">
        <item x="63"/>
        <item x="25"/>
        <item x="74"/>
        <item x="3"/>
        <item x="15"/>
        <item x="50"/>
        <item x="70"/>
        <item x="43"/>
        <item x="34"/>
        <item x="52"/>
        <item x="36"/>
        <item x="0"/>
        <item x="61"/>
        <item x="24"/>
        <item x="76"/>
        <item x="29"/>
        <item x="2"/>
        <item x="45"/>
        <item x="18"/>
        <item x="54"/>
        <item x="40"/>
        <item x="14"/>
        <item x="64"/>
        <item x="33"/>
        <item x="59"/>
        <item x="1"/>
        <item x="6"/>
        <item x="19"/>
        <item x="5"/>
        <item x="23"/>
        <item x="31"/>
        <item x="55"/>
        <item x="48"/>
        <item x="57"/>
        <item x="53"/>
        <item x="72"/>
        <item x="49"/>
        <item x="9"/>
        <item x="13"/>
        <item x="56"/>
        <item x="16"/>
        <item x="69"/>
        <item x="77"/>
        <item x="28"/>
        <item x="51"/>
        <item x="4"/>
        <item x="8"/>
        <item x="42"/>
        <item x="46"/>
        <item x="60"/>
        <item x="32"/>
        <item x="67"/>
        <item x="47"/>
        <item x="21"/>
        <item x="35"/>
        <item x="68"/>
        <item x="71"/>
        <item x="7"/>
        <item x="30"/>
        <item x="66"/>
        <item x="27"/>
        <item x="11"/>
        <item x="73"/>
        <item x="10"/>
        <item x="78"/>
        <item x="44"/>
        <item x="20"/>
        <item x="58"/>
        <item x="39"/>
        <item x="62"/>
        <item x="26"/>
        <item x="12"/>
        <item x="22"/>
        <item x="37"/>
        <item x="65"/>
        <item x="41"/>
        <item x="75"/>
        <item x="17"/>
        <item x="38"/>
        <item t="default"/>
      </items>
    </pivotField>
    <pivotField axis="axisRow" showAll="0" sortType="descending">
      <items count="8">
        <item x="5"/>
        <item x="0"/>
        <item x="3"/>
        <item x="2"/>
        <item x="6"/>
        <item x="1"/>
        <item x="4"/>
        <item t="default"/>
      </items>
      <autoSortScope>
        <pivotArea dataOnly="0" outline="0" fieldPosition="0">
          <references count="1">
            <reference field="4294967294" count="1" selected="0">
              <x v="0"/>
            </reference>
          </references>
        </pivotArea>
      </autoSortScope>
    </pivotField>
    <pivotField showAll="0"/>
    <pivotField showAll="0">
      <items count="10">
        <item x="6"/>
        <item x="3"/>
        <item x="2"/>
        <item x="1"/>
        <item x="8"/>
        <item x="0"/>
        <item x="5"/>
        <item x="7"/>
        <item x="4"/>
        <item t="default"/>
      </items>
    </pivotField>
    <pivotField showAll="0"/>
    <pivotField axis="axisCol" showAll="0">
      <items count="4">
        <item x="1"/>
        <item h="1" x="2"/>
        <item x="0"/>
        <item t="default"/>
      </items>
    </pivotField>
    <pivotField dataField="1" showAll="0">
      <items count="440">
        <item x="340"/>
        <item x="423"/>
        <item x="271"/>
        <item x="381"/>
        <item x="90"/>
        <item x="77"/>
        <item x="415"/>
        <item x="320"/>
        <item x="437"/>
        <item x="22"/>
        <item x="397"/>
        <item x="110"/>
        <item x="138"/>
        <item x="156"/>
        <item x="15"/>
        <item x="186"/>
        <item x="324"/>
        <item x="232"/>
        <item x="178"/>
        <item x="10"/>
        <item x="69"/>
        <item x="107"/>
        <item x="306"/>
        <item x="334"/>
        <item x="304"/>
        <item x="104"/>
        <item x="211"/>
        <item x="425"/>
        <item x="267"/>
        <item x="233"/>
        <item x="326"/>
        <item x="169"/>
        <item x="142"/>
        <item x="322"/>
        <item x="335"/>
        <item x="201"/>
        <item x="20"/>
        <item x="362"/>
        <item x="135"/>
        <item x="62"/>
        <item x="349"/>
        <item x="126"/>
        <item x="21"/>
        <item x="288"/>
        <item x="192"/>
        <item x="257"/>
        <item x="297"/>
        <item x="106"/>
        <item x="227"/>
        <item x="6"/>
        <item x="118"/>
        <item x="31"/>
        <item x="60"/>
        <item x="398"/>
        <item x="250"/>
        <item x="331"/>
        <item x="41"/>
        <item x="225"/>
        <item x="383"/>
        <item x="98"/>
        <item x="93"/>
        <item x="374"/>
        <item x="121"/>
        <item x="241"/>
        <item x="213"/>
        <item x="248"/>
        <item x="260"/>
        <item x="190"/>
        <item x="424"/>
        <item x="229"/>
        <item x="25"/>
        <item x="366"/>
        <item x="252"/>
        <item x="410"/>
        <item x="312"/>
        <item x="5"/>
        <item x="313"/>
        <item x="438"/>
        <item x="202"/>
        <item x="389"/>
        <item x="102"/>
        <item x="99"/>
        <item x="27"/>
        <item x="428"/>
        <item x="183"/>
        <item x="48"/>
        <item x="301"/>
        <item x="173"/>
        <item x="429"/>
        <item x="57"/>
        <item x="356"/>
        <item x="23"/>
        <item x="61"/>
        <item x="434"/>
        <item x="157"/>
        <item x="198"/>
        <item x="143"/>
        <item x="154"/>
        <item x="189"/>
        <item x="327"/>
        <item x="149"/>
        <item x="194"/>
        <item x="214"/>
        <item x="256"/>
        <item x="222"/>
        <item x="36"/>
        <item x="380"/>
        <item x="246"/>
        <item x="378"/>
        <item x="247"/>
        <item x="223"/>
        <item x="163"/>
        <item x="407"/>
        <item x="265"/>
        <item x="262"/>
        <item x="226"/>
        <item x="158"/>
        <item x="325"/>
        <item x="357"/>
        <item x="18"/>
        <item x="338"/>
        <item x="195"/>
        <item x="393"/>
        <item x="206"/>
        <item x="278"/>
        <item x="53"/>
        <item x="305"/>
        <item x="171"/>
        <item x="348"/>
        <item x="354"/>
        <item x="150"/>
        <item x="210"/>
        <item x="224"/>
        <item x="409"/>
        <item x="311"/>
        <item x="91"/>
        <item x="358"/>
        <item x="351"/>
        <item x="82"/>
        <item x="296"/>
        <item x="286"/>
        <item x="292"/>
        <item x="92"/>
        <item x="353"/>
        <item x="346"/>
        <item x="47"/>
        <item x="240"/>
        <item x="391"/>
        <item x="197"/>
        <item x="129"/>
        <item x="52"/>
        <item x="379"/>
        <item x="81"/>
        <item x="96"/>
        <item x="38"/>
        <item x="435"/>
        <item x="368"/>
        <item x="217"/>
        <item x="253"/>
        <item x="318"/>
        <item x="105"/>
        <item x="132"/>
        <item x="238"/>
        <item x="9"/>
        <item x="236"/>
        <item x="73"/>
        <item x="35"/>
        <item x="113"/>
        <item x="180"/>
        <item x="284"/>
        <item x="3"/>
        <item x="71"/>
        <item x="416"/>
        <item x="315"/>
        <item x="152"/>
        <item x="72"/>
        <item x="406"/>
        <item x="310"/>
        <item x="208"/>
        <item x="367"/>
        <item x="216"/>
        <item x="359"/>
        <item x="426"/>
        <item x="122"/>
        <item x="285"/>
        <item x="13"/>
        <item x="144"/>
        <item x="130"/>
        <item x="207"/>
        <item x="95"/>
        <item x="280"/>
        <item x="269"/>
        <item x="221"/>
        <item x="308"/>
        <item x="29"/>
        <item x="63"/>
        <item x="120"/>
        <item x="299"/>
        <item x="182"/>
        <item x="164"/>
        <item x="103"/>
        <item x="136"/>
        <item x="51"/>
        <item x="67"/>
        <item x="49"/>
        <item x="42"/>
        <item x="43"/>
        <item x="263"/>
        <item x="244"/>
        <item x="411"/>
        <item x="17"/>
        <item x="112"/>
        <item x="1"/>
        <item x="414"/>
        <item x="254"/>
        <item x="83"/>
        <item x="140"/>
        <item x="273"/>
        <item x="242"/>
        <item x="203"/>
        <item x="369"/>
        <item x="191"/>
        <item x="235"/>
        <item x="88"/>
        <item x="54"/>
        <item x="39"/>
        <item x="160"/>
        <item x="266"/>
        <item x="330"/>
        <item x="314"/>
        <item x="396"/>
        <item x="290"/>
        <item x="50"/>
        <item x="268"/>
        <item x="187"/>
        <item x="275"/>
        <item x="37"/>
        <item x="303"/>
        <item x="302"/>
        <item x="350"/>
        <item x="16"/>
        <item x="100"/>
        <item x="124"/>
        <item x="141"/>
        <item x="109"/>
        <item x="151"/>
        <item x="119"/>
        <item x="172"/>
        <item x="289"/>
        <item x="128"/>
        <item x="147"/>
        <item x="387"/>
        <item x="219"/>
        <item x="174"/>
        <item x="421"/>
        <item x="293"/>
        <item x="341"/>
        <item x="131"/>
        <item x="146"/>
        <item x="125"/>
        <item x="56"/>
        <item x="279"/>
        <item x="376"/>
        <item x="317"/>
        <item x="274"/>
        <item x="399"/>
        <item x="59"/>
        <item x="11"/>
        <item x="287"/>
        <item x="205"/>
        <item x="329"/>
        <item x="243"/>
        <item x="316"/>
        <item x="319"/>
        <item x="4"/>
        <item x="375"/>
        <item x="193"/>
        <item x="204"/>
        <item x="55"/>
        <item x="33"/>
        <item x="392"/>
        <item x="175"/>
        <item x="420"/>
        <item x="430"/>
        <item x="45"/>
        <item x="404"/>
        <item x="145"/>
        <item x="307"/>
        <item x="251"/>
        <item x="134"/>
        <item x="153"/>
        <item x="162"/>
        <item x="168"/>
        <item x="84"/>
        <item x="408"/>
        <item x="181"/>
        <item x="343"/>
        <item x="418"/>
        <item x="209"/>
        <item x="166"/>
        <item x="234"/>
        <item x="333"/>
        <item x="417"/>
        <item x="337"/>
        <item x="188"/>
        <item x="127"/>
        <item x="261"/>
        <item x="298"/>
        <item x="89"/>
        <item x="361"/>
        <item x="394"/>
        <item x="14"/>
        <item x="339"/>
        <item x="355"/>
        <item x="76"/>
        <item x="282"/>
        <item x="283"/>
        <item x="345"/>
        <item x="176"/>
        <item x="155"/>
        <item x="12"/>
        <item x="139"/>
        <item x="272"/>
        <item x="32"/>
        <item x="264"/>
        <item x="276"/>
        <item x="24"/>
        <item x="255"/>
        <item x="300"/>
        <item x="395"/>
        <item x="184"/>
        <item x="40"/>
        <item x="237"/>
        <item x="281"/>
        <item x="231"/>
        <item x="70"/>
        <item x="372"/>
        <item x="412"/>
        <item x="2"/>
        <item x="0"/>
        <item x="170"/>
        <item x="159"/>
        <item x="80"/>
        <item x="165"/>
        <item x="436"/>
        <item x="270"/>
        <item x="137"/>
        <item x="360"/>
        <item x="295"/>
        <item x="291"/>
        <item x="199"/>
        <item x="101"/>
        <item x="413"/>
        <item x="347"/>
        <item x="249"/>
        <item x="323"/>
        <item x="8"/>
        <item x="111"/>
        <item x="26"/>
        <item x="309"/>
        <item x="384"/>
        <item x="390"/>
        <item x="373"/>
        <item x="427"/>
        <item x="433"/>
        <item x="7"/>
        <item x="74"/>
        <item x="75"/>
        <item x="400"/>
        <item x="85"/>
        <item x="133"/>
        <item x="123"/>
        <item x="332"/>
        <item x="108"/>
        <item x="212"/>
        <item x="161"/>
        <item x="58"/>
        <item x="364"/>
        <item x="405"/>
        <item x="66"/>
        <item x="114"/>
        <item x="44"/>
        <item x="344"/>
        <item x="87"/>
        <item x="403"/>
        <item x="30"/>
        <item x="328"/>
        <item x="177"/>
        <item x="116"/>
        <item x="277"/>
        <item x="432"/>
        <item x="259"/>
        <item x="185"/>
        <item x="79"/>
        <item x="377"/>
        <item x="65"/>
        <item x="294"/>
        <item x="431"/>
        <item x="419"/>
        <item x="388"/>
        <item x="28"/>
        <item x="336"/>
        <item x="218"/>
        <item x="402"/>
        <item x="94"/>
        <item x="115"/>
        <item x="220"/>
        <item x="401"/>
        <item x="352"/>
        <item x="386"/>
        <item x="371"/>
        <item x="365"/>
        <item x="68"/>
        <item x="382"/>
        <item x="64"/>
        <item x="363"/>
        <item x="422"/>
        <item x="228"/>
        <item x="258"/>
        <item x="78"/>
        <item x="342"/>
        <item x="46"/>
        <item x="215"/>
        <item x="239"/>
        <item x="86"/>
        <item x="148"/>
        <item x="167"/>
        <item x="385"/>
        <item x="97"/>
        <item x="196"/>
        <item x="19"/>
        <item x="370"/>
        <item x="179"/>
        <item x="230"/>
        <item x="321"/>
        <item x="117"/>
        <item x="34"/>
        <item x="200"/>
        <item x="24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8">
    <i>
      <x/>
    </i>
    <i>
      <x v="5"/>
    </i>
    <i>
      <x v="6"/>
    </i>
    <i>
      <x v="2"/>
    </i>
    <i>
      <x v="1"/>
    </i>
    <i>
      <x v="3"/>
    </i>
    <i>
      <x v="4"/>
    </i>
    <i t="grand">
      <x/>
    </i>
  </rowItems>
  <colFields count="1">
    <field x="7"/>
  </colFields>
  <colItems count="2">
    <i>
      <x/>
    </i>
    <i>
      <x v="2"/>
    </i>
  </colItems>
  <dataFields count="1">
    <dataField name="Sum of Total_Sales" fld="8" baseField="7" baseItem="0" numFmtId="10">
      <extLst>
        <ext xmlns:x14="http://schemas.microsoft.com/office/spreadsheetml/2009/9/main" uri="{E15A36E0-9728-4e99-A89B-3F7291B0FE68}">
          <x14:dataField pivotShowAs="percentOfParentCol"/>
        </ext>
      </extLst>
    </dataField>
  </dataFields>
  <chartFormats count="36">
    <chartFormat chart="22" format="0" series="1">
      <pivotArea type="data" outline="0" fieldPosition="0">
        <references count="1">
          <reference field="4294967294" count="1" selected="0">
            <x v="0"/>
          </reference>
        </references>
      </pivotArea>
    </chartFormat>
    <chartFormat chart="26" format="0" series="1">
      <pivotArea type="data" outline="0" fieldPosition="0">
        <references count="2">
          <reference field="4294967294" count="1" selected="0">
            <x v="0"/>
          </reference>
          <reference field="7" count="1" selected="0">
            <x v="0"/>
          </reference>
        </references>
      </pivotArea>
    </chartFormat>
    <chartFormat chart="26" format="1" series="1">
      <pivotArea type="data" outline="0" fieldPosition="0">
        <references count="2">
          <reference field="4294967294" count="1" selected="0">
            <x v="0"/>
          </reference>
          <reference field="7" count="1" selected="0">
            <x v="1"/>
          </reference>
        </references>
      </pivotArea>
    </chartFormat>
    <chartFormat chart="26" format="2" series="1">
      <pivotArea type="data" outline="0" fieldPosition="0">
        <references count="2">
          <reference field="4294967294" count="1" selected="0">
            <x v="0"/>
          </reference>
          <reference field="7" count="1" selected="0">
            <x v="2"/>
          </reference>
        </references>
      </pivotArea>
    </chartFormat>
    <chartFormat chart="28" format="19" series="1">
      <pivotArea type="data" outline="0" fieldPosition="0">
        <references count="2">
          <reference field="4294967294" count="1" selected="0">
            <x v="0"/>
          </reference>
          <reference field="7" count="1" selected="0">
            <x v="0"/>
          </reference>
        </references>
      </pivotArea>
    </chartFormat>
    <chartFormat chart="28" format="20">
      <pivotArea type="data" outline="0" fieldPosition="0">
        <references count="3">
          <reference field="4294967294" count="1" selected="0">
            <x v="0"/>
          </reference>
          <reference field="3" count="1" selected="0">
            <x v="0"/>
          </reference>
          <reference field="7" count="1" selected="0">
            <x v="0"/>
          </reference>
        </references>
      </pivotArea>
    </chartFormat>
    <chartFormat chart="28" format="21">
      <pivotArea type="data" outline="0" fieldPosition="0">
        <references count="3">
          <reference field="4294967294" count="1" selected="0">
            <x v="0"/>
          </reference>
          <reference field="3" count="1" selected="0">
            <x v="5"/>
          </reference>
          <reference field="7" count="1" selected="0">
            <x v="0"/>
          </reference>
        </references>
      </pivotArea>
    </chartFormat>
    <chartFormat chart="28" format="22">
      <pivotArea type="data" outline="0" fieldPosition="0">
        <references count="3">
          <reference field="4294967294" count="1" selected="0">
            <x v="0"/>
          </reference>
          <reference field="3" count="1" selected="0">
            <x v="6"/>
          </reference>
          <reference field="7" count="1" selected="0">
            <x v="0"/>
          </reference>
        </references>
      </pivotArea>
    </chartFormat>
    <chartFormat chart="28" format="23">
      <pivotArea type="data" outline="0" fieldPosition="0">
        <references count="3">
          <reference field="4294967294" count="1" selected="0">
            <x v="0"/>
          </reference>
          <reference field="3" count="1" selected="0">
            <x v="2"/>
          </reference>
          <reference field="7" count="1" selected="0">
            <x v="0"/>
          </reference>
        </references>
      </pivotArea>
    </chartFormat>
    <chartFormat chart="28" format="24">
      <pivotArea type="data" outline="0" fieldPosition="0">
        <references count="3">
          <reference field="4294967294" count="1" selected="0">
            <x v="0"/>
          </reference>
          <reference field="3" count="1" selected="0">
            <x v="1"/>
          </reference>
          <reference field="7" count="1" selected="0">
            <x v="0"/>
          </reference>
        </references>
      </pivotArea>
    </chartFormat>
    <chartFormat chart="28" format="25">
      <pivotArea type="data" outline="0" fieldPosition="0">
        <references count="3">
          <reference field="4294967294" count="1" selected="0">
            <x v="0"/>
          </reference>
          <reference field="3" count="1" selected="0">
            <x v="3"/>
          </reference>
          <reference field="7" count="1" selected="0">
            <x v="0"/>
          </reference>
        </references>
      </pivotArea>
    </chartFormat>
    <chartFormat chart="28" format="26">
      <pivotArea type="data" outline="0" fieldPosition="0">
        <references count="3">
          <reference field="4294967294" count="1" selected="0">
            <x v="0"/>
          </reference>
          <reference field="3" count="1" selected="0">
            <x v="4"/>
          </reference>
          <reference field="7" count="1" selected="0">
            <x v="0"/>
          </reference>
        </references>
      </pivotArea>
    </chartFormat>
    <chartFormat chart="28" format="27" series="1">
      <pivotArea type="data" outline="0" fieldPosition="0">
        <references count="2">
          <reference field="4294967294" count="1" selected="0">
            <x v="0"/>
          </reference>
          <reference field="7" count="1" selected="0">
            <x v="2"/>
          </reference>
        </references>
      </pivotArea>
    </chartFormat>
    <chartFormat chart="28" format="28">
      <pivotArea type="data" outline="0" fieldPosition="0">
        <references count="3">
          <reference field="4294967294" count="1" selected="0">
            <x v="0"/>
          </reference>
          <reference field="3" count="1" selected="0">
            <x v="0"/>
          </reference>
          <reference field="7" count="1" selected="0">
            <x v="2"/>
          </reference>
        </references>
      </pivotArea>
    </chartFormat>
    <chartFormat chart="28" format="29">
      <pivotArea type="data" outline="0" fieldPosition="0">
        <references count="3">
          <reference field="4294967294" count="1" selected="0">
            <x v="0"/>
          </reference>
          <reference field="3" count="1" selected="0">
            <x v="5"/>
          </reference>
          <reference field="7" count="1" selected="0">
            <x v="2"/>
          </reference>
        </references>
      </pivotArea>
    </chartFormat>
    <chartFormat chart="28" format="30">
      <pivotArea type="data" outline="0" fieldPosition="0">
        <references count="3">
          <reference field="4294967294" count="1" selected="0">
            <x v="0"/>
          </reference>
          <reference field="3" count="1" selected="0">
            <x v="6"/>
          </reference>
          <reference field="7" count="1" selected="0">
            <x v="2"/>
          </reference>
        </references>
      </pivotArea>
    </chartFormat>
    <chartFormat chart="28" format="31">
      <pivotArea type="data" outline="0" fieldPosition="0">
        <references count="3">
          <reference field="4294967294" count="1" selected="0">
            <x v="0"/>
          </reference>
          <reference field="3" count="1" selected="0">
            <x v="2"/>
          </reference>
          <reference field="7" count="1" selected="0">
            <x v="2"/>
          </reference>
        </references>
      </pivotArea>
    </chartFormat>
    <chartFormat chart="28" format="32">
      <pivotArea type="data" outline="0" fieldPosition="0">
        <references count="3">
          <reference field="4294967294" count="1" selected="0">
            <x v="0"/>
          </reference>
          <reference field="3" count="1" selected="0">
            <x v="1"/>
          </reference>
          <reference field="7" count="1" selected="0">
            <x v="2"/>
          </reference>
        </references>
      </pivotArea>
    </chartFormat>
    <chartFormat chart="28" format="33">
      <pivotArea type="data" outline="0" fieldPosition="0">
        <references count="3">
          <reference field="4294967294" count="1" selected="0">
            <x v="0"/>
          </reference>
          <reference field="3" count="1" selected="0">
            <x v="3"/>
          </reference>
          <reference field="7" count="1" selected="0">
            <x v="2"/>
          </reference>
        </references>
      </pivotArea>
    </chartFormat>
    <chartFormat chart="28" format="34">
      <pivotArea type="data" outline="0" fieldPosition="0">
        <references count="3">
          <reference field="4294967294" count="1" selected="0">
            <x v="0"/>
          </reference>
          <reference field="3" count="1" selected="0">
            <x v="4"/>
          </reference>
          <reference field="7" count="1" selected="0">
            <x v="2"/>
          </reference>
        </references>
      </pivotArea>
    </chartFormat>
    <chartFormat chart="28" format="35"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26" format="4">
      <pivotArea type="data" outline="0" fieldPosition="0">
        <references count="3">
          <reference field="4294967294" count="1" selected="0">
            <x v="0"/>
          </reference>
          <reference field="3" count="1" selected="0">
            <x v="0"/>
          </reference>
          <reference field="7" count="1" selected="0">
            <x v="0"/>
          </reference>
        </references>
      </pivotArea>
    </chartFormat>
    <chartFormat chart="26" format="5">
      <pivotArea type="data" outline="0" fieldPosition="0">
        <references count="3">
          <reference field="4294967294" count="1" selected="0">
            <x v="0"/>
          </reference>
          <reference field="3" count="1" selected="0">
            <x v="5"/>
          </reference>
          <reference field="7" count="1" selected="0">
            <x v="0"/>
          </reference>
        </references>
      </pivotArea>
    </chartFormat>
    <chartFormat chart="26" format="6">
      <pivotArea type="data" outline="0" fieldPosition="0">
        <references count="3">
          <reference field="4294967294" count="1" selected="0">
            <x v="0"/>
          </reference>
          <reference field="3" count="1" selected="0">
            <x v="6"/>
          </reference>
          <reference field="7" count="1" selected="0">
            <x v="0"/>
          </reference>
        </references>
      </pivotArea>
    </chartFormat>
    <chartFormat chart="26" format="7">
      <pivotArea type="data" outline="0" fieldPosition="0">
        <references count="3">
          <reference field="4294967294" count="1" selected="0">
            <x v="0"/>
          </reference>
          <reference field="3" count="1" selected="0">
            <x v="2"/>
          </reference>
          <reference field="7" count="1" selected="0">
            <x v="0"/>
          </reference>
        </references>
      </pivotArea>
    </chartFormat>
    <chartFormat chart="26" format="8">
      <pivotArea type="data" outline="0" fieldPosition="0">
        <references count="3">
          <reference field="4294967294" count="1" selected="0">
            <x v="0"/>
          </reference>
          <reference field="3" count="1" selected="0">
            <x v="1"/>
          </reference>
          <reference field="7" count="1" selected="0">
            <x v="0"/>
          </reference>
        </references>
      </pivotArea>
    </chartFormat>
    <chartFormat chart="26" format="9">
      <pivotArea type="data" outline="0" fieldPosition="0">
        <references count="3">
          <reference field="4294967294" count="1" selected="0">
            <x v="0"/>
          </reference>
          <reference field="3" count="1" selected="0">
            <x v="3"/>
          </reference>
          <reference field="7" count="1" selected="0">
            <x v="0"/>
          </reference>
        </references>
      </pivotArea>
    </chartFormat>
    <chartFormat chart="26" format="10">
      <pivotArea type="data" outline="0" fieldPosition="0">
        <references count="3">
          <reference field="4294967294" count="1" selected="0">
            <x v="0"/>
          </reference>
          <reference field="3" count="1" selected="0">
            <x v="4"/>
          </reference>
          <reference field="7" count="1" selected="0">
            <x v="0"/>
          </reference>
        </references>
      </pivotArea>
    </chartFormat>
    <chartFormat chart="26" format="11">
      <pivotArea type="data" outline="0" fieldPosition="0">
        <references count="3">
          <reference field="4294967294" count="1" selected="0">
            <x v="0"/>
          </reference>
          <reference field="3" count="1" selected="0">
            <x v="0"/>
          </reference>
          <reference field="7" count="1" selected="0">
            <x v="2"/>
          </reference>
        </references>
      </pivotArea>
    </chartFormat>
    <chartFormat chart="26" format="12">
      <pivotArea type="data" outline="0" fieldPosition="0">
        <references count="3">
          <reference field="4294967294" count="1" selected="0">
            <x v="0"/>
          </reference>
          <reference field="3" count="1" selected="0">
            <x v="5"/>
          </reference>
          <reference field="7" count="1" selected="0">
            <x v="2"/>
          </reference>
        </references>
      </pivotArea>
    </chartFormat>
    <chartFormat chart="26" format="13">
      <pivotArea type="data" outline="0" fieldPosition="0">
        <references count="3">
          <reference field="4294967294" count="1" selected="0">
            <x v="0"/>
          </reference>
          <reference field="3" count="1" selected="0">
            <x v="6"/>
          </reference>
          <reference field="7" count="1" selected="0">
            <x v="2"/>
          </reference>
        </references>
      </pivotArea>
    </chartFormat>
    <chartFormat chart="26" format="14">
      <pivotArea type="data" outline="0" fieldPosition="0">
        <references count="3">
          <reference field="4294967294" count="1" selected="0">
            <x v="0"/>
          </reference>
          <reference field="3" count="1" selected="0">
            <x v="2"/>
          </reference>
          <reference field="7" count="1" selected="0">
            <x v="2"/>
          </reference>
        </references>
      </pivotArea>
    </chartFormat>
    <chartFormat chart="26" format="15">
      <pivotArea type="data" outline="0" fieldPosition="0">
        <references count="3">
          <reference field="4294967294" count="1" selected="0">
            <x v="0"/>
          </reference>
          <reference field="3" count="1" selected="0">
            <x v="1"/>
          </reference>
          <reference field="7" count="1" selected="0">
            <x v="2"/>
          </reference>
        </references>
      </pivotArea>
    </chartFormat>
    <chartFormat chart="26" format="16">
      <pivotArea type="data" outline="0" fieldPosition="0">
        <references count="3">
          <reference field="4294967294" count="1" selected="0">
            <x v="0"/>
          </reference>
          <reference field="3" count="1" selected="0">
            <x v="3"/>
          </reference>
          <reference field="7" count="1" selected="0">
            <x v="2"/>
          </reference>
        </references>
      </pivotArea>
    </chartFormat>
    <chartFormat chart="26" format="17">
      <pivotArea type="data" outline="0" fieldPosition="0">
        <references count="3">
          <reference field="4294967294" count="1" selected="0">
            <x v="0"/>
          </reference>
          <reference field="3" count="1" selected="0">
            <x v="4"/>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F120EA3-2AA8-4758-820C-FB4DBDCC748B}" sourceName="Country">
  <pivotTables>
    <pivotTable tabId="2" name="PivotTable6"/>
  </pivotTables>
  <data>
    <tabular pivotCacheId="1502855592">
      <items count="7">
        <i x="5"/>
        <i x="0"/>
        <i x="3" s="1"/>
        <i x="2"/>
        <i x="6"/>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D3FD7C8F-44F8-4CD1-8EB1-C84DFA2642D6}" sourceName="Country">
  <pivotTables>
    <pivotTable tabId="2" name="PivotTable7"/>
  </pivotTables>
  <data>
    <tabular pivotCacheId="1502855592">
      <items count="7">
        <i x="5" s="1"/>
        <i x="0" s="1"/>
        <i x="3" s="1"/>
        <i x="2" s="1"/>
        <i x="6"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C1BAF2B-8D10-4BE6-9991-9C732D16C548}" cache="Slicer_Country" caption="Country" rowHeight="251883"/>
  <slicer name="Country 1" xr10:uid="{8F6CDD7B-7EF6-4AE1-A3BF-5D3BF609EA40}" cache="Slicer_Country1" caption="Count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5CF493-683C-49D9-AE57-9CB43A8E1E7E}" name="Table2" displayName="Table2" ref="A1:I491" totalsRowShown="0">
  <autoFilter ref="A1:I491" xr:uid="{3C5CF493-683C-49D9-AE57-9CB43A8E1E7E}"/>
  <tableColumns count="9">
    <tableColumn id="1" xr3:uid="{71513E22-CD76-4F0D-8542-CADF77E71DD7}" name="Order_ID"/>
    <tableColumn id="2" xr3:uid="{49D49D8B-DCCF-44C5-806B-7212FEB1A257}" name="Order_Date" dataDxfId="0"/>
    <tableColumn id="3" xr3:uid="{A58AF8FC-E9A6-4A5C-82FD-19E839074046}" name="Customer_Name"/>
    <tableColumn id="4" xr3:uid="{50CDD70E-2C46-4EF0-96F9-994AD44858DE}" name="Country"/>
    <tableColumn id="5" xr3:uid="{CB373A11-498F-4693-9042-308BFE1CDA4F}" name="Product"/>
    <tableColumn id="6" xr3:uid="{D2626E3B-1E0E-483E-817B-A5C9259DCBC7}" name="Quantity"/>
    <tableColumn id="7" xr3:uid="{3CC87258-967D-4629-88B2-5A5492AA2ACC}" name="Unit_Price"/>
    <tableColumn id="8" xr3:uid="{724EE97E-B436-43F4-8C57-F6630EBA8715}" name="Sales_Channel"/>
    <tableColumn id="9" xr3:uid="{12FB7590-155C-4236-9ADB-EB0FCDE20A38}" name="Total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29ADF-8C43-4133-919C-6532033F0305}">
  <dimension ref="A1"/>
  <sheetViews>
    <sheetView showGridLines="0" showRowColHeaders="0" topLeftCell="J4" zoomScale="80" zoomScaleNormal="80" workbookViewId="0">
      <selection activeCell="N40" sqref="N40"/>
    </sheetView>
  </sheetViews>
  <sheetFormatPr defaultRowHeight="14.5" x14ac:dyDescent="0.35"/>
  <cols>
    <col min="1" max="16384" width="8.7265625" style="1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7D78-D1CB-412C-86ED-F7A893B56F3C}">
  <dimension ref="A1:L491"/>
  <sheetViews>
    <sheetView tabSelected="1" workbookViewId="0">
      <selection activeCell="L7" sqref="L7"/>
    </sheetView>
  </sheetViews>
  <sheetFormatPr defaultRowHeight="14.5" x14ac:dyDescent="0.35"/>
  <cols>
    <col min="1" max="1" width="10.36328125" bestFit="1" customWidth="1"/>
    <col min="2" max="2" width="12.453125" style="1" bestFit="1" customWidth="1"/>
    <col min="3" max="3" width="17.08984375" bestFit="1" customWidth="1"/>
    <col min="4" max="4" width="9.7265625" bestFit="1" customWidth="1"/>
    <col min="5" max="5" width="10.54296875" bestFit="1" customWidth="1"/>
    <col min="6" max="6" width="10.26953125" bestFit="1" customWidth="1"/>
    <col min="7" max="7" width="11.7265625" bestFit="1" customWidth="1"/>
    <col min="8" max="8" width="15.6328125" bestFit="1" customWidth="1"/>
    <col min="9" max="9" width="12.54296875" bestFit="1" customWidth="1"/>
    <col min="10" max="10" width="20.54296875" bestFit="1" customWidth="1"/>
    <col min="11" max="11" width="26.7265625" bestFit="1" customWidth="1"/>
  </cols>
  <sheetData>
    <row r="1" spans="1:12" x14ac:dyDescent="0.35">
      <c r="A1" t="s">
        <v>0</v>
      </c>
      <c r="B1" s="1" t="s">
        <v>1</v>
      </c>
      <c r="C1" t="s">
        <v>2</v>
      </c>
      <c r="D1" t="s">
        <v>3</v>
      </c>
      <c r="E1" t="s">
        <v>4</v>
      </c>
      <c r="F1" t="s">
        <v>5</v>
      </c>
      <c r="G1" t="s">
        <v>6</v>
      </c>
      <c r="H1" t="s">
        <v>7</v>
      </c>
      <c r="I1" t="s">
        <v>8</v>
      </c>
    </row>
    <row r="2" spans="1:12" x14ac:dyDescent="0.35">
      <c r="A2">
        <v>1001</v>
      </c>
      <c r="B2" s="1">
        <v>45029</v>
      </c>
      <c r="C2" t="s">
        <v>9</v>
      </c>
      <c r="D2" t="s">
        <v>10</v>
      </c>
      <c r="E2" t="s">
        <v>11</v>
      </c>
      <c r="F2">
        <v>6</v>
      </c>
      <c r="G2">
        <v>5.16</v>
      </c>
      <c r="H2" t="s">
        <v>12</v>
      </c>
      <c r="I2">
        <v>30.96</v>
      </c>
      <c r="K2" t="s">
        <v>123</v>
      </c>
      <c r="L2">
        <f>SUM(Table2[Quantity])</f>
        <v>2446</v>
      </c>
    </row>
    <row r="3" spans="1:12" x14ac:dyDescent="0.35">
      <c r="A3">
        <v>1002</v>
      </c>
      <c r="B3" s="1">
        <v>45275</v>
      </c>
      <c r="C3" t="s">
        <v>13</v>
      </c>
      <c r="D3" t="s">
        <v>14</v>
      </c>
      <c r="E3" t="s">
        <v>15</v>
      </c>
      <c r="F3">
        <v>4</v>
      </c>
      <c r="G3">
        <v>4.87</v>
      </c>
      <c r="H3" t="s">
        <v>12</v>
      </c>
      <c r="I3">
        <v>19.48</v>
      </c>
    </row>
    <row r="4" spans="1:12" x14ac:dyDescent="0.35">
      <c r="A4">
        <v>1003</v>
      </c>
      <c r="B4" s="1">
        <v>45197</v>
      </c>
      <c r="C4" t="s">
        <v>16</v>
      </c>
      <c r="D4" t="s">
        <v>17</v>
      </c>
      <c r="E4" t="s">
        <v>18</v>
      </c>
      <c r="F4">
        <v>6</v>
      </c>
      <c r="G4">
        <v>5.15</v>
      </c>
      <c r="H4" t="s">
        <v>12</v>
      </c>
      <c r="I4">
        <v>30.9</v>
      </c>
      <c r="K4" t="s">
        <v>124</v>
      </c>
      <c r="L4">
        <f>COUNTA(Table2[Order_ID])</f>
        <v>490</v>
      </c>
    </row>
    <row r="5" spans="1:12" x14ac:dyDescent="0.35">
      <c r="A5">
        <v>1004</v>
      </c>
      <c r="B5" s="1">
        <v>45033</v>
      </c>
      <c r="C5" t="s">
        <v>19</v>
      </c>
      <c r="D5" t="s">
        <v>20</v>
      </c>
      <c r="E5" t="s">
        <v>21</v>
      </c>
      <c r="F5">
        <v>3</v>
      </c>
      <c r="G5">
        <v>5.45</v>
      </c>
      <c r="H5" t="s">
        <v>12</v>
      </c>
      <c r="I5">
        <v>16.350000000000001</v>
      </c>
    </row>
    <row r="6" spans="1:12" x14ac:dyDescent="0.35">
      <c r="A6">
        <v>1005</v>
      </c>
      <c r="B6" s="1">
        <v>44998</v>
      </c>
      <c r="C6" t="s">
        <v>22</v>
      </c>
      <c r="D6" t="s">
        <v>23</v>
      </c>
      <c r="E6" t="s">
        <v>24</v>
      </c>
      <c r="F6">
        <v>6</v>
      </c>
      <c r="G6">
        <v>4.1500000000000004</v>
      </c>
      <c r="H6" t="s">
        <v>12</v>
      </c>
      <c r="I6">
        <v>24.9</v>
      </c>
    </row>
    <row r="7" spans="1:12" x14ac:dyDescent="0.35">
      <c r="A7">
        <v>1006</v>
      </c>
      <c r="B7" s="1">
        <v>45115</v>
      </c>
      <c r="C7" t="s">
        <v>25</v>
      </c>
      <c r="D7" t="s">
        <v>17</v>
      </c>
      <c r="E7" t="s">
        <v>24</v>
      </c>
      <c r="F7">
        <v>2</v>
      </c>
      <c r="G7">
        <v>4.26</v>
      </c>
      <c r="H7" t="s">
        <v>26</v>
      </c>
      <c r="I7">
        <v>8.52</v>
      </c>
      <c r="K7" t="s">
        <v>125</v>
      </c>
      <c r="L7">
        <f>(SUM(Table2[Quantity]))/(COUNTA(Table2[[#All],[Order_ID]]))</f>
        <v>4.9816700610997966</v>
      </c>
    </row>
    <row r="8" spans="1:12" x14ac:dyDescent="0.35">
      <c r="A8">
        <v>1007</v>
      </c>
      <c r="B8" s="1">
        <v>44947</v>
      </c>
      <c r="C8" t="s">
        <v>27</v>
      </c>
      <c r="D8" t="s">
        <v>28</v>
      </c>
      <c r="E8" t="s">
        <v>11</v>
      </c>
      <c r="F8">
        <v>2</v>
      </c>
      <c r="G8">
        <v>2.94</v>
      </c>
      <c r="H8" t="s">
        <v>26</v>
      </c>
      <c r="I8">
        <v>5.88</v>
      </c>
    </row>
    <row r="9" spans="1:12" x14ac:dyDescent="0.35">
      <c r="A9">
        <v>1008</v>
      </c>
      <c r="B9" s="1">
        <v>45029</v>
      </c>
      <c r="C9" t="s">
        <v>27</v>
      </c>
      <c r="D9" t="s">
        <v>10</v>
      </c>
      <c r="E9" t="s">
        <v>24</v>
      </c>
      <c r="F9">
        <v>9</v>
      </c>
      <c r="G9">
        <v>3.85</v>
      </c>
      <c r="H9" t="s">
        <v>12</v>
      </c>
      <c r="I9">
        <v>34.65</v>
      </c>
      <c r="L9">
        <f>L2/L4</f>
        <v>4.9918367346938775</v>
      </c>
    </row>
    <row r="10" spans="1:12" x14ac:dyDescent="0.35">
      <c r="A10">
        <v>1009</v>
      </c>
      <c r="B10" s="1">
        <v>45048</v>
      </c>
      <c r="C10" t="s">
        <v>29</v>
      </c>
      <c r="D10" t="s">
        <v>17</v>
      </c>
      <c r="E10" t="s">
        <v>15</v>
      </c>
      <c r="F10">
        <v>7</v>
      </c>
      <c r="G10">
        <v>4.75</v>
      </c>
      <c r="H10" t="s">
        <v>26</v>
      </c>
      <c r="I10">
        <v>33.25</v>
      </c>
    </row>
    <row r="11" spans="1:12" x14ac:dyDescent="0.35">
      <c r="A11">
        <v>1010</v>
      </c>
      <c r="B11" s="1">
        <v>45141</v>
      </c>
      <c r="C11" t="s">
        <v>30</v>
      </c>
      <c r="D11" t="s">
        <v>20</v>
      </c>
      <c r="E11" t="s">
        <v>15</v>
      </c>
      <c r="F11">
        <v>3</v>
      </c>
      <c r="G11">
        <v>5.23</v>
      </c>
      <c r="H11" t="s">
        <v>26</v>
      </c>
      <c r="I11">
        <v>15.69</v>
      </c>
    </row>
    <row r="12" spans="1:12" x14ac:dyDescent="0.35">
      <c r="A12">
        <v>1011</v>
      </c>
      <c r="B12" s="1">
        <v>45257</v>
      </c>
      <c r="C12" t="s">
        <v>31</v>
      </c>
      <c r="D12" t="s">
        <v>28</v>
      </c>
      <c r="E12" t="s">
        <v>11</v>
      </c>
      <c r="F12">
        <v>1</v>
      </c>
      <c r="G12">
        <v>3.26</v>
      </c>
      <c r="H12" t="s">
        <v>12</v>
      </c>
      <c r="I12">
        <v>3.26</v>
      </c>
    </row>
    <row r="13" spans="1:12" x14ac:dyDescent="0.35">
      <c r="A13">
        <v>1012</v>
      </c>
      <c r="B13" s="1">
        <v>45014</v>
      </c>
      <c r="C13" t="s">
        <v>19</v>
      </c>
      <c r="D13" t="s">
        <v>23</v>
      </c>
      <c r="E13" t="s">
        <v>15</v>
      </c>
      <c r="F13">
        <v>8</v>
      </c>
      <c r="G13">
        <v>2.98</v>
      </c>
      <c r="H13" t="s">
        <v>26</v>
      </c>
      <c r="I13">
        <v>23.84</v>
      </c>
    </row>
    <row r="14" spans="1:12" x14ac:dyDescent="0.35">
      <c r="A14">
        <v>1013</v>
      </c>
      <c r="B14" s="1">
        <v>45026</v>
      </c>
      <c r="C14" t="s">
        <v>32</v>
      </c>
      <c r="D14" t="s">
        <v>23</v>
      </c>
      <c r="E14" t="s">
        <v>18</v>
      </c>
      <c r="F14">
        <v>6</v>
      </c>
      <c r="G14">
        <v>4.82</v>
      </c>
      <c r="H14" t="s">
        <v>12</v>
      </c>
      <c r="I14">
        <v>28.92</v>
      </c>
    </row>
    <row r="15" spans="1:12" x14ac:dyDescent="0.35">
      <c r="A15">
        <v>1014</v>
      </c>
      <c r="B15" s="1">
        <v>45286</v>
      </c>
      <c r="C15" t="s">
        <v>33</v>
      </c>
      <c r="D15" t="s">
        <v>20</v>
      </c>
      <c r="E15" t="s">
        <v>11</v>
      </c>
      <c r="F15">
        <v>7</v>
      </c>
      <c r="G15">
        <v>2.5099999999999998</v>
      </c>
      <c r="H15" t="s">
        <v>12</v>
      </c>
      <c r="I15">
        <v>17.57</v>
      </c>
    </row>
    <row r="16" spans="1:12" x14ac:dyDescent="0.35">
      <c r="A16">
        <v>1015</v>
      </c>
      <c r="B16" s="1">
        <v>45078</v>
      </c>
      <c r="C16" t="s">
        <v>27</v>
      </c>
      <c r="D16" t="s">
        <v>20</v>
      </c>
      <c r="E16" t="s">
        <v>18</v>
      </c>
      <c r="F16">
        <v>9</v>
      </c>
      <c r="G16">
        <v>3.12</v>
      </c>
      <c r="H16" t="s">
        <v>12</v>
      </c>
      <c r="I16">
        <v>28.08</v>
      </c>
    </row>
    <row r="17" spans="1:9" x14ac:dyDescent="0.35">
      <c r="A17">
        <v>1017</v>
      </c>
      <c r="B17" s="1">
        <v>45076</v>
      </c>
      <c r="C17" t="s">
        <v>35</v>
      </c>
      <c r="D17" t="s">
        <v>23</v>
      </c>
      <c r="E17" t="s">
        <v>18</v>
      </c>
      <c r="F17">
        <v>1</v>
      </c>
      <c r="G17">
        <v>3.08</v>
      </c>
      <c r="H17" t="s">
        <v>26</v>
      </c>
      <c r="I17">
        <v>3.08</v>
      </c>
    </row>
    <row r="18" spans="1:9" x14ac:dyDescent="0.35">
      <c r="A18">
        <v>1018</v>
      </c>
      <c r="B18" s="1">
        <v>45235</v>
      </c>
      <c r="C18" t="s">
        <v>31</v>
      </c>
      <c r="D18" t="s">
        <v>28</v>
      </c>
      <c r="E18" t="s">
        <v>21</v>
      </c>
      <c r="F18">
        <v>7</v>
      </c>
      <c r="G18">
        <v>3.13</v>
      </c>
      <c r="H18" t="s">
        <v>26</v>
      </c>
      <c r="I18">
        <v>21.91</v>
      </c>
    </row>
    <row r="19" spans="1:9" x14ac:dyDescent="0.35">
      <c r="A19">
        <v>1019</v>
      </c>
      <c r="B19" s="1">
        <v>45184</v>
      </c>
      <c r="C19" t="s">
        <v>36</v>
      </c>
      <c r="D19" t="s">
        <v>17</v>
      </c>
      <c r="E19" t="s">
        <v>21</v>
      </c>
      <c r="F19">
        <v>5</v>
      </c>
      <c r="G19">
        <v>3.86</v>
      </c>
      <c r="H19" t="s">
        <v>26</v>
      </c>
      <c r="I19">
        <v>19.3</v>
      </c>
    </row>
    <row r="20" spans="1:9" x14ac:dyDescent="0.35">
      <c r="A20">
        <v>1020</v>
      </c>
      <c r="B20" s="1">
        <v>45270</v>
      </c>
      <c r="C20" t="s">
        <v>37</v>
      </c>
      <c r="D20" t="s">
        <v>28</v>
      </c>
      <c r="E20" t="s">
        <v>18</v>
      </c>
      <c r="F20">
        <v>3</v>
      </c>
      <c r="G20">
        <v>3.91</v>
      </c>
      <c r="H20" t="s">
        <v>12</v>
      </c>
      <c r="I20">
        <v>11.73</v>
      </c>
    </row>
    <row r="21" spans="1:9" x14ac:dyDescent="0.35">
      <c r="A21">
        <v>1021</v>
      </c>
      <c r="B21" s="1">
        <v>45220</v>
      </c>
      <c r="C21" t="s">
        <v>38</v>
      </c>
      <c r="D21" t="s">
        <v>14</v>
      </c>
      <c r="E21" t="s">
        <v>11</v>
      </c>
      <c r="F21">
        <v>9</v>
      </c>
      <c r="G21">
        <v>5.56</v>
      </c>
      <c r="H21" t="s">
        <v>12</v>
      </c>
      <c r="I21">
        <v>50.04</v>
      </c>
    </row>
    <row r="22" spans="1:9" x14ac:dyDescent="0.35">
      <c r="A22">
        <v>1022</v>
      </c>
      <c r="B22" s="1">
        <v>45118</v>
      </c>
      <c r="C22" t="s">
        <v>19</v>
      </c>
      <c r="D22" t="s">
        <v>14</v>
      </c>
      <c r="E22" t="s">
        <v>15</v>
      </c>
      <c r="F22">
        <v>1</v>
      </c>
      <c r="G22">
        <v>4.29</v>
      </c>
      <c r="H22" t="s">
        <v>26</v>
      </c>
      <c r="I22">
        <v>4.29</v>
      </c>
    </row>
    <row r="23" spans="1:9" x14ac:dyDescent="0.35">
      <c r="A23">
        <v>1023</v>
      </c>
      <c r="B23" s="1">
        <v>45203</v>
      </c>
      <c r="C23" t="s">
        <v>39</v>
      </c>
      <c r="D23" t="s">
        <v>20</v>
      </c>
      <c r="E23" t="s">
        <v>15</v>
      </c>
      <c r="F23">
        <v>1</v>
      </c>
      <c r="G23">
        <v>5.03</v>
      </c>
      <c r="H23" t="s">
        <v>12</v>
      </c>
      <c r="I23">
        <v>5.03</v>
      </c>
    </row>
    <row r="24" spans="1:9" x14ac:dyDescent="0.35">
      <c r="A24">
        <v>1024</v>
      </c>
      <c r="B24" s="1">
        <v>45087</v>
      </c>
      <c r="C24" t="s">
        <v>9</v>
      </c>
      <c r="D24" t="s">
        <v>10</v>
      </c>
      <c r="E24" t="s">
        <v>21</v>
      </c>
      <c r="F24">
        <v>1</v>
      </c>
      <c r="G24">
        <v>2.86</v>
      </c>
      <c r="H24" t="s">
        <v>12</v>
      </c>
      <c r="I24">
        <v>2.86</v>
      </c>
    </row>
    <row r="25" spans="1:9" x14ac:dyDescent="0.35">
      <c r="A25">
        <v>1025</v>
      </c>
      <c r="B25" s="1">
        <v>45240</v>
      </c>
      <c r="C25" t="s">
        <v>25</v>
      </c>
      <c r="D25" t="s">
        <v>14</v>
      </c>
      <c r="E25" t="s">
        <v>21</v>
      </c>
      <c r="F25">
        <v>3</v>
      </c>
      <c r="G25">
        <v>3.29</v>
      </c>
      <c r="H25" t="s">
        <v>26</v>
      </c>
      <c r="I25">
        <v>9.8699999999999992</v>
      </c>
    </row>
    <row r="26" spans="1:9" x14ac:dyDescent="0.35">
      <c r="A26">
        <v>1026</v>
      </c>
      <c r="B26" s="1">
        <v>44948</v>
      </c>
      <c r="C26" t="s">
        <v>40</v>
      </c>
      <c r="D26" t="s">
        <v>23</v>
      </c>
      <c r="E26" t="s">
        <v>11</v>
      </c>
      <c r="F26">
        <v>6</v>
      </c>
      <c r="G26">
        <v>4.96</v>
      </c>
      <c r="H26" t="s">
        <v>12</v>
      </c>
      <c r="I26">
        <v>29.76</v>
      </c>
    </row>
    <row r="27" spans="1:9" x14ac:dyDescent="0.35">
      <c r="A27">
        <v>1027</v>
      </c>
      <c r="B27" s="1">
        <v>45179</v>
      </c>
      <c r="C27" t="s">
        <v>41</v>
      </c>
      <c r="D27" t="s">
        <v>28</v>
      </c>
      <c r="E27" t="s">
        <v>24</v>
      </c>
      <c r="F27">
        <v>3</v>
      </c>
      <c r="G27">
        <v>2.68</v>
      </c>
      <c r="H27" t="s">
        <v>26</v>
      </c>
      <c r="I27">
        <v>8.0399999999999991</v>
      </c>
    </row>
    <row r="28" spans="1:9" x14ac:dyDescent="0.35">
      <c r="A28">
        <v>1028</v>
      </c>
      <c r="B28" s="1">
        <v>45162</v>
      </c>
      <c r="C28" t="s">
        <v>35</v>
      </c>
      <c r="D28" t="s">
        <v>28</v>
      </c>
      <c r="E28" t="s">
        <v>18</v>
      </c>
      <c r="F28">
        <v>8</v>
      </c>
      <c r="G28">
        <v>4.2</v>
      </c>
      <c r="H28" t="s">
        <v>12</v>
      </c>
      <c r="I28">
        <v>33.6</v>
      </c>
    </row>
    <row r="29" spans="1:9" x14ac:dyDescent="0.35">
      <c r="A29">
        <v>1029</v>
      </c>
      <c r="B29" s="1">
        <v>45271</v>
      </c>
      <c r="C29" t="s">
        <v>42</v>
      </c>
      <c r="D29" t="s">
        <v>20</v>
      </c>
      <c r="E29" t="s">
        <v>21</v>
      </c>
      <c r="F29">
        <v>2</v>
      </c>
      <c r="G29">
        <v>4.5999999999999996</v>
      </c>
      <c r="H29" t="s">
        <v>26</v>
      </c>
      <c r="I29">
        <v>9.1999999999999993</v>
      </c>
    </row>
    <row r="30" spans="1:9" x14ac:dyDescent="0.35">
      <c r="A30">
        <v>1030</v>
      </c>
      <c r="B30" s="1">
        <v>44975</v>
      </c>
      <c r="C30" t="s">
        <v>43</v>
      </c>
      <c r="D30" t="s">
        <v>17</v>
      </c>
      <c r="E30" t="s">
        <v>15</v>
      </c>
      <c r="F30">
        <v>9</v>
      </c>
      <c r="G30">
        <v>4.6100000000000003</v>
      </c>
      <c r="H30" t="s">
        <v>12</v>
      </c>
      <c r="I30">
        <v>41.49</v>
      </c>
    </row>
    <row r="31" spans="1:9" x14ac:dyDescent="0.35">
      <c r="A31">
        <v>1032</v>
      </c>
      <c r="B31" s="1">
        <v>45096</v>
      </c>
      <c r="C31" t="s">
        <v>45</v>
      </c>
      <c r="D31" t="s">
        <v>17</v>
      </c>
      <c r="E31" t="s">
        <v>18</v>
      </c>
      <c r="F31">
        <v>5</v>
      </c>
      <c r="G31">
        <v>3.63</v>
      </c>
      <c r="H31" t="s">
        <v>26</v>
      </c>
      <c r="I31">
        <v>18.149999999999999</v>
      </c>
    </row>
    <row r="32" spans="1:9" x14ac:dyDescent="0.35">
      <c r="A32">
        <v>1033</v>
      </c>
      <c r="B32" s="1">
        <v>45114</v>
      </c>
      <c r="C32" t="s">
        <v>46</v>
      </c>
      <c r="D32" t="s">
        <v>20</v>
      </c>
      <c r="E32" t="s">
        <v>11</v>
      </c>
      <c r="F32">
        <v>8</v>
      </c>
      <c r="G32">
        <v>4.7300000000000004</v>
      </c>
      <c r="H32" t="s">
        <v>26</v>
      </c>
      <c r="I32">
        <v>37.840000000000003</v>
      </c>
    </row>
    <row r="33" spans="1:9" x14ac:dyDescent="0.35">
      <c r="A33">
        <v>1034</v>
      </c>
      <c r="B33" s="1">
        <v>45197</v>
      </c>
      <c r="C33" t="s">
        <v>37</v>
      </c>
      <c r="D33" t="s">
        <v>20</v>
      </c>
      <c r="E33" t="s">
        <v>18</v>
      </c>
      <c r="F33">
        <v>2</v>
      </c>
      <c r="G33">
        <v>3.02</v>
      </c>
      <c r="H33" t="s">
        <v>26</v>
      </c>
      <c r="I33">
        <v>6.04</v>
      </c>
    </row>
    <row r="34" spans="1:9" x14ac:dyDescent="0.35">
      <c r="A34">
        <v>1035</v>
      </c>
      <c r="B34" s="1">
        <v>45116</v>
      </c>
      <c r="C34" t="s">
        <v>47</v>
      </c>
      <c r="D34" t="s">
        <v>20</v>
      </c>
      <c r="E34" t="s">
        <v>18</v>
      </c>
      <c r="F34">
        <v>6</v>
      </c>
      <c r="G34">
        <v>4.93</v>
      </c>
      <c r="H34" t="s">
        <v>26</v>
      </c>
      <c r="I34">
        <v>29.58</v>
      </c>
    </row>
    <row r="35" spans="1:9" x14ac:dyDescent="0.35">
      <c r="A35">
        <v>1036</v>
      </c>
      <c r="B35" s="1">
        <v>45101</v>
      </c>
      <c r="C35" t="s">
        <v>48</v>
      </c>
      <c r="D35" t="s">
        <v>17</v>
      </c>
      <c r="E35" t="s">
        <v>21</v>
      </c>
      <c r="F35">
        <v>5</v>
      </c>
      <c r="G35">
        <v>5.1100000000000003</v>
      </c>
      <c r="H35" t="s">
        <v>12</v>
      </c>
      <c r="I35">
        <v>25.55</v>
      </c>
    </row>
    <row r="36" spans="1:9" x14ac:dyDescent="0.35">
      <c r="A36">
        <v>1037</v>
      </c>
      <c r="B36" s="1">
        <v>44977</v>
      </c>
      <c r="C36" t="s">
        <v>47</v>
      </c>
      <c r="D36" t="s">
        <v>17</v>
      </c>
      <c r="E36" t="s">
        <v>11</v>
      </c>
      <c r="F36">
        <v>9</v>
      </c>
      <c r="G36">
        <v>5.94</v>
      </c>
      <c r="H36" t="s">
        <v>12</v>
      </c>
      <c r="I36">
        <v>53.46</v>
      </c>
    </row>
    <row r="37" spans="1:9" x14ac:dyDescent="0.35">
      <c r="A37">
        <v>1038</v>
      </c>
      <c r="B37" s="1">
        <v>45290</v>
      </c>
      <c r="C37" t="s">
        <v>49</v>
      </c>
      <c r="D37" t="s">
        <v>20</v>
      </c>
      <c r="E37" t="s">
        <v>11</v>
      </c>
      <c r="F37">
        <v>5</v>
      </c>
      <c r="G37">
        <v>3.23</v>
      </c>
      <c r="H37" t="s">
        <v>26</v>
      </c>
      <c r="I37">
        <v>16.149999999999999</v>
      </c>
    </row>
    <row r="38" spans="1:9" x14ac:dyDescent="0.35">
      <c r="A38">
        <v>1039</v>
      </c>
      <c r="B38" s="1">
        <v>44981</v>
      </c>
      <c r="C38" t="s">
        <v>50</v>
      </c>
      <c r="D38" t="s">
        <v>14</v>
      </c>
      <c r="E38" t="s">
        <v>15</v>
      </c>
      <c r="F38">
        <v>2</v>
      </c>
      <c r="G38">
        <v>5.39</v>
      </c>
      <c r="H38" t="s">
        <v>12</v>
      </c>
      <c r="I38">
        <v>10.78</v>
      </c>
    </row>
    <row r="39" spans="1:9" x14ac:dyDescent="0.35">
      <c r="A39">
        <v>1040</v>
      </c>
      <c r="B39" s="1">
        <v>45170</v>
      </c>
      <c r="C39" t="s">
        <v>16</v>
      </c>
      <c r="D39" t="s">
        <v>10</v>
      </c>
      <c r="E39" t="s">
        <v>15</v>
      </c>
      <c r="F39">
        <v>5</v>
      </c>
      <c r="G39">
        <v>4.32</v>
      </c>
      <c r="H39" t="s">
        <v>26</v>
      </c>
      <c r="I39">
        <v>21.6</v>
      </c>
    </row>
    <row r="40" spans="1:9" x14ac:dyDescent="0.35">
      <c r="A40">
        <v>1041</v>
      </c>
      <c r="B40" s="1">
        <v>45246</v>
      </c>
      <c r="C40" t="s">
        <v>51</v>
      </c>
      <c r="D40" t="s">
        <v>10</v>
      </c>
      <c r="E40" t="s">
        <v>21</v>
      </c>
      <c r="F40">
        <v>4</v>
      </c>
      <c r="G40">
        <v>3.81</v>
      </c>
      <c r="H40" t="s">
        <v>26</v>
      </c>
      <c r="I40">
        <v>15.24</v>
      </c>
    </row>
    <row r="41" spans="1:9" x14ac:dyDescent="0.35">
      <c r="A41">
        <v>1042</v>
      </c>
      <c r="B41" s="1">
        <v>45057</v>
      </c>
      <c r="C41" t="s">
        <v>52</v>
      </c>
      <c r="D41" t="s">
        <v>10</v>
      </c>
      <c r="E41" t="s">
        <v>21</v>
      </c>
      <c r="F41">
        <v>7</v>
      </c>
      <c r="G41">
        <v>2.93</v>
      </c>
      <c r="H41" t="s">
        <v>12</v>
      </c>
      <c r="I41">
        <v>20.51</v>
      </c>
    </row>
    <row r="42" spans="1:9" x14ac:dyDescent="0.35">
      <c r="A42">
        <v>1043</v>
      </c>
      <c r="B42" s="1">
        <v>45233</v>
      </c>
      <c r="C42" t="s">
        <v>47</v>
      </c>
      <c r="D42" t="s">
        <v>17</v>
      </c>
      <c r="E42" t="s">
        <v>24</v>
      </c>
      <c r="F42">
        <v>6</v>
      </c>
      <c r="G42">
        <v>5.07</v>
      </c>
      <c r="H42" t="s">
        <v>12</v>
      </c>
      <c r="I42">
        <v>30.42</v>
      </c>
    </row>
    <row r="43" spans="1:9" x14ac:dyDescent="0.35">
      <c r="A43">
        <v>1044</v>
      </c>
      <c r="B43" s="1">
        <v>45061</v>
      </c>
      <c r="C43" t="s">
        <v>16</v>
      </c>
      <c r="D43" t="s">
        <v>17</v>
      </c>
      <c r="E43" t="s">
        <v>15</v>
      </c>
      <c r="F43">
        <v>2</v>
      </c>
      <c r="G43">
        <v>3.33</v>
      </c>
      <c r="H43" t="s">
        <v>26</v>
      </c>
      <c r="I43">
        <v>6.66</v>
      </c>
    </row>
    <row r="44" spans="1:9" x14ac:dyDescent="0.35">
      <c r="A44">
        <v>1045</v>
      </c>
      <c r="B44" s="1">
        <v>44947</v>
      </c>
      <c r="C44" t="s">
        <v>53</v>
      </c>
      <c r="D44" t="s">
        <v>14</v>
      </c>
      <c r="E44" t="s">
        <v>18</v>
      </c>
      <c r="F44">
        <v>5</v>
      </c>
      <c r="G44">
        <v>3.8</v>
      </c>
      <c r="H44" t="s">
        <v>26</v>
      </c>
      <c r="I44">
        <v>19</v>
      </c>
    </row>
    <row r="45" spans="1:9" x14ac:dyDescent="0.35">
      <c r="A45">
        <v>1046</v>
      </c>
      <c r="B45" s="1">
        <v>45255</v>
      </c>
      <c r="C45" t="s">
        <v>54</v>
      </c>
      <c r="D45" t="s">
        <v>10</v>
      </c>
      <c r="E45" t="s">
        <v>11</v>
      </c>
      <c r="F45">
        <v>7</v>
      </c>
      <c r="G45">
        <v>2.72</v>
      </c>
      <c r="H45" t="s">
        <v>26</v>
      </c>
      <c r="I45">
        <v>19.04</v>
      </c>
    </row>
    <row r="46" spans="1:9" x14ac:dyDescent="0.35">
      <c r="A46">
        <v>1047</v>
      </c>
      <c r="B46" s="1">
        <v>45093</v>
      </c>
      <c r="C46" t="s">
        <v>55</v>
      </c>
      <c r="D46" t="s">
        <v>10</v>
      </c>
      <c r="E46" t="s">
        <v>21</v>
      </c>
      <c r="F46">
        <v>7</v>
      </c>
      <c r="G46">
        <v>5.3</v>
      </c>
      <c r="H46" t="s">
        <v>12</v>
      </c>
      <c r="I46">
        <v>37.1</v>
      </c>
    </row>
    <row r="47" spans="1:9" x14ac:dyDescent="0.35">
      <c r="A47">
        <v>1048</v>
      </c>
      <c r="B47" s="1">
        <v>45200</v>
      </c>
      <c r="C47" t="s">
        <v>19</v>
      </c>
      <c r="D47" t="s">
        <v>20</v>
      </c>
      <c r="E47" t="s">
        <v>11</v>
      </c>
      <c r="F47">
        <v>5</v>
      </c>
      <c r="G47">
        <v>5.18</v>
      </c>
      <c r="H47" t="s">
        <v>12</v>
      </c>
      <c r="I47">
        <v>25.9</v>
      </c>
    </row>
    <row r="48" spans="1:9" x14ac:dyDescent="0.35">
      <c r="A48">
        <v>1049</v>
      </c>
      <c r="B48" s="1">
        <v>45015</v>
      </c>
      <c r="C48" t="s">
        <v>56</v>
      </c>
      <c r="D48" t="s">
        <v>17</v>
      </c>
      <c r="E48" t="s">
        <v>11</v>
      </c>
      <c r="F48">
        <v>9</v>
      </c>
      <c r="G48">
        <v>5.07</v>
      </c>
      <c r="H48" t="s">
        <v>12</v>
      </c>
      <c r="I48">
        <v>45.63</v>
      </c>
    </row>
    <row r="49" spans="1:9" x14ac:dyDescent="0.35">
      <c r="A49">
        <v>1050</v>
      </c>
      <c r="B49" s="1">
        <v>45242</v>
      </c>
      <c r="C49" t="s">
        <v>38</v>
      </c>
      <c r="D49" t="s">
        <v>10</v>
      </c>
      <c r="E49" t="s">
        <v>24</v>
      </c>
      <c r="F49">
        <v>4</v>
      </c>
      <c r="G49">
        <v>3.55</v>
      </c>
      <c r="H49" t="s">
        <v>12</v>
      </c>
      <c r="I49">
        <v>14.2</v>
      </c>
    </row>
    <row r="50" spans="1:9" x14ac:dyDescent="0.35">
      <c r="A50">
        <v>1051</v>
      </c>
      <c r="B50" s="1">
        <v>44940</v>
      </c>
      <c r="C50" t="s">
        <v>53</v>
      </c>
      <c r="D50" t="s">
        <v>28</v>
      </c>
      <c r="E50" t="s">
        <v>15</v>
      </c>
      <c r="F50">
        <v>3</v>
      </c>
      <c r="G50">
        <v>3.11</v>
      </c>
      <c r="H50" t="s">
        <v>26</v>
      </c>
      <c r="I50">
        <v>9.33</v>
      </c>
    </row>
    <row r="51" spans="1:9" x14ac:dyDescent="0.35">
      <c r="A51">
        <v>1052</v>
      </c>
      <c r="B51" s="1">
        <v>45168</v>
      </c>
      <c r="C51" t="s">
        <v>57</v>
      </c>
      <c r="D51" t="s">
        <v>14</v>
      </c>
      <c r="E51" t="s">
        <v>21</v>
      </c>
      <c r="F51">
        <v>4</v>
      </c>
      <c r="G51">
        <v>4.7300000000000004</v>
      </c>
      <c r="H51" t="s">
        <v>26</v>
      </c>
      <c r="I51">
        <v>18.920000000000002</v>
      </c>
    </row>
    <row r="52" spans="1:9" x14ac:dyDescent="0.35">
      <c r="A52">
        <v>1053</v>
      </c>
      <c r="B52" s="1">
        <v>45191</v>
      </c>
      <c r="C52" t="s">
        <v>58</v>
      </c>
      <c r="D52" t="s">
        <v>28</v>
      </c>
      <c r="E52" t="s">
        <v>11</v>
      </c>
      <c r="F52">
        <v>5</v>
      </c>
      <c r="G52">
        <v>4.24</v>
      </c>
      <c r="H52" t="s">
        <v>26</v>
      </c>
      <c r="I52">
        <v>21.2</v>
      </c>
    </row>
    <row r="53" spans="1:9" x14ac:dyDescent="0.35">
      <c r="A53">
        <v>1054</v>
      </c>
      <c r="B53" s="1">
        <v>45272</v>
      </c>
      <c r="C53" t="s">
        <v>54</v>
      </c>
      <c r="D53" t="s">
        <v>28</v>
      </c>
      <c r="E53" t="s">
        <v>21</v>
      </c>
      <c r="F53">
        <v>6</v>
      </c>
      <c r="G53">
        <v>3.12</v>
      </c>
      <c r="H53" t="s">
        <v>26</v>
      </c>
      <c r="I53">
        <v>18.72</v>
      </c>
    </row>
    <row r="54" spans="1:9" x14ac:dyDescent="0.35">
      <c r="A54">
        <v>1055</v>
      </c>
      <c r="B54" s="1">
        <v>44979</v>
      </c>
      <c r="C54" t="s">
        <v>38</v>
      </c>
      <c r="D54" t="s">
        <v>14</v>
      </c>
      <c r="E54" t="s">
        <v>18</v>
      </c>
      <c r="F54">
        <v>3</v>
      </c>
      <c r="G54">
        <v>4.9000000000000004</v>
      </c>
      <c r="H54" t="s">
        <v>26</v>
      </c>
      <c r="I54">
        <v>14.7</v>
      </c>
    </row>
    <row r="55" spans="1:9" x14ac:dyDescent="0.35">
      <c r="A55">
        <v>1056</v>
      </c>
      <c r="B55" s="1">
        <v>45266</v>
      </c>
      <c r="C55" t="s">
        <v>59</v>
      </c>
      <c r="D55" t="s">
        <v>28</v>
      </c>
      <c r="E55" t="s">
        <v>24</v>
      </c>
      <c r="F55">
        <v>2</v>
      </c>
      <c r="G55">
        <v>5.97</v>
      </c>
      <c r="H55" t="s">
        <v>26</v>
      </c>
      <c r="I55">
        <v>11.94</v>
      </c>
    </row>
    <row r="56" spans="1:9" x14ac:dyDescent="0.35">
      <c r="A56">
        <v>1057</v>
      </c>
      <c r="B56" s="1">
        <v>45018</v>
      </c>
      <c r="C56" t="s">
        <v>60</v>
      </c>
      <c r="D56" t="s">
        <v>10</v>
      </c>
      <c r="E56" t="s">
        <v>18</v>
      </c>
      <c r="F56">
        <v>4</v>
      </c>
      <c r="G56">
        <v>5.12</v>
      </c>
      <c r="H56" t="s">
        <v>12</v>
      </c>
      <c r="I56">
        <v>20.48</v>
      </c>
    </row>
    <row r="57" spans="1:9" x14ac:dyDescent="0.35">
      <c r="A57">
        <v>1058</v>
      </c>
      <c r="B57" s="1">
        <v>45190</v>
      </c>
      <c r="C57" t="s">
        <v>52</v>
      </c>
      <c r="D57" t="s">
        <v>17</v>
      </c>
      <c r="E57" t="s">
        <v>21</v>
      </c>
      <c r="F57">
        <v>5</v>
      </c>
      <c r="G57">
        <v>5.09</v>
      </c>
      <c r="H57" t="s">
        <v>12</v>
      </c>
      <c r="I57">
        <v>25.45</v>
      </c>
    </row>
    <row r="58" spans="1:9" x14ac:dyDescent="0.35">
      <c r="A58">
        <v>1059</v>
      </c>
      <c r="B58" s="1">
        <v>44961</v>
      </c>
      <c r="C58" t="s">
        <v>19</v>
      </c>
      <c r="D58" t="s">
        <v>14</v>
      </c>
      <c r="E58" t="s">
        <v>21</v>
      </c>
      <c r="F58">
        <v>4</v>
      </c>
      <c r="G58">
        <v>5.83</v>
      </c>
      <c r="H58" t="s">
        <v>26</v>
      </c>
      <c r="I58">
        <v>23.32</v>
      </c>
    </row>
    <row r="59" spans="1:9" x14ac:dyDescent="0.35">
      <c r="A59">
        <v>1060</v>
      </c>
      <c r="B59" s="1">
        <v>45132</v>
      </c>
      <c r="C59" t="s">
        <v>29</v>
      </c>
      <c r="D59" t="s">
        <v>20</v>
      </c>
      <c r="E59" t="s">
        <v>15</v>
      </c>
      <c r="F59">
        <v>3</v>
      </c>
      <c r="G59">
        <v>3.21</v>
      </c>
      <c r="H59" t="s">
        <v>26</v>
      </c>
      <c r="I59">
        <v>9.6300000000000008</v>
      </c>
    </row>
    <row r="60" spans="1:9" x14ac:dyDescent="0.35">
      <c r="A60">
        <v>1061</v>
      </c>
      <c r="B60" s="1">
        <v>45007</v>
      </c>
      <c r="C60" t="s">
        <v>60</v>
      </c>
      <c r="D60" t="s">
        <v>28</v>
      </c>
      <c r="E60" t="s">
        <v>11</v>
      </c>
      <c r="F60">
        <v>8</v>
      </c>
      <c r="G60">
        <v>4.4800000000000004</v>
      </c>
      <c r="H60" t="s">
        <v>12</v>
      </c>
      <c r="I60">
        <v>35.840000000000003</v>
      </c>
    </row>
    <row r="61" spans="1:9" x14ac:dyDescent="0.35">
      <c r="A61">
        <v>1062</v>
      </c>
      <c r="B61" s="1">
        <v>44976</v>
      </c>
      <c r="C61" t="s">
        <v>61</v>
      </c>
      <c r="D61" t="s">
        <v>14</v>
      </c>
      <c r="E61" t="s">
        <v>11</v>
      </c>
      <c r="F61">
        <v>4</v>
      </c>
      <c r="G61">
        <v>5.93</v>
      </c>
      <c r="H61" t="s">
        <v>12</v>
      </c>
      <c r="I61">
        <v>23.72</v>
      </c>
    </row>
    <row r="62" spans="1:9" x14ac:dyDescent="0.35">
      <c r="A62">
        <v>1063</v>
      </c>
      <c r="B62" s="1">
        <v>45286</v>
      </c>
      <c r="C62" t="s">
        <v>62</v>
      </c>
      <c r="D62" t="s">
        <v>23</v>
      </c>
      <c r="E62" t="s">
        <v>18</v>
      </c>
      <c r="F62">
        <v>2</v>
      </c>
      <c r="G62">
        <v>3.08</v>
      </c>
      <c r="H62" t="s">
        <v>12</v>
      </c>
      <c r="I62">
        <v>6.16</v>
      </c>
    </row>
    <row r="63" spans="1:9" x14ac:dyDescent="0.35">
      <c r="A63">
        <v>1064</v>
      </c>
      <c r="B63" s="1">
        <v>44928</v>
      </c>
      <c r="C63" t="s">
        <v>63</v>
      </c>
      <c r="D63" t="s">
        <v>23</v>
      </c>
      <c r="E63" t="s">
        <v>24</v>
      </c>
      <c r="F63">
        <v>2</v>
      </c>
      <c r="G63">
        <v>4.95</v>
      </c>
      <c r="H63" t="s">
        <v>12</v>
      </c>
      <c r="I63">
        <v>9.9</v>
      </c>
    </row>
    <row r="64" spans="1:9" x14ac:dyDescent="0.35">
      <c r="A64">
        <v>1065</v>
      </c>
      <c r="B64" s="1">
        <v>44980</v>
      </c>
      <c r="C64" t="s">
        <v>64</v>
      </c>
      <c r="D64" t="s">
        <v>17</v>
      </c>
      <c r="E64" t="s">
        <v>11</v>
      </c>
      <c r="F64">
        <v>1</v>
      </c>
      <c r="G64">
        <v>4.55</v>
      </c>
      <c r="H64" t="s">
        <v>26</v>
      </c>
      <c r="I64">
        <v>4.55</v>
      </c>
    </row>
    <row r="65" spans="1:9" x14ac:dyDescent="0.35">
      <c r="A65">
        <v>1066</v>
      </c>
      <c r="B65" s="1">
        <v>45032</v>
      </c>
      <c r="C65" t="s">
        <v>65</v>
      </c>
      <c r="D65" t="s">
        <v>10</v>
      </c>
      <c r="E65" t="s">
        <v>15</v>
      </c>
      <c r="F65">
        <v>4</v>
      </c>
      <c r="G65">
        <v>4.55</v>
      </c>
      <c r="H65" t="s">
        <v>26</v>
      </c>
      <c r="I65">
        <v>18.2</v>
      </c>
    </row>
    <row r="66" spans="1:9" x14ac:dyDescent="0.35">
      <c r="A66">
        <v>1067</v>
      </c>
      <c r="B66" s="1">
        <v>45186</v>
      </c>
      <c r="C66" t="s">
        <v>66</v>
      </c>
      <c r="D66" t="s">
        <v>17</v>
      </c>
      <c r="E66" t="s">
        <v>18</v>
      </c>
      <c r="F66">
        <v>9</v>
      </c>
      <c r="G66">
        <v>4.9400000000000004</v>
      </c>
      <c r="H66" t="s">
        <v>26</v>
      </c>
      <c r="I66">
        <v>44.46</v>
      </c>
    </row>
    <row r="67" spans="1:9" x14ac:dyDescent="0.35">
      <c r="A67">
        <v>1068</v>
      </c>
      <c r="B67" s="1">
        <v>45236</v>
      </c>
      <c r="C67" t="s">
        <v>67</v>
      </c>
      <c r="D67" t="s">
        <v>17</v>
      </c>
      <c r="E67" t="s">
        <v>18</v>
      </c>
      <c r="F67">
        <v>7</v>
      </c>
      <c r="G67">
        <v>5.75</v>
      </c>
      <c r="H67" t="s">
        <v>26</v>
      </c>
      <c r="I67">
        <v>40.25</v>
      </c>
    </row>
    <row r="68" spans="1:9" x14ac:dyDescent="0.35">
      <c r="A68">
        <v>1069</v>
      </c>
      <c r="B68" s="1">
        <v>45117</v>
      </c>
      <c r="C68" t="s">
        <v>68</v>
      </c>
      <c r="D68" t="s">
        <v>17</v>
      </c>
      <c r="E68" t="s">
        <v>15</v>
      </c>
      <c r="F68">
        <v>7</v>
      </c>
      <c r="G68">
        <v>5.24</v>
      </c>
      <c r="H68" t="s">
        <v>26</v>
      </c>
      <c r="I68">
        <v>36.68</v>
      </c>
    </row>
    <row r="69" spans="1:9" x14ac:dyDescent="0.35">
      <c r="A69">
        <v>1070</v>
      </c>
      <c r="B69" s="1">
        <v>45144</v>
      </c>
      <c r="C69" t="s">
        <v>19</v>
      </c>
      <c r="D69" t="s">
        <v>17</v>
      </c>
      <c r="E69" t="s">
        <v>24</v>
      </c>
      <c r="F69">
        <v>7</v>
      </c>
      <c r="G69">
        <v>2.7</v>
      </c>
      <c r="H69" t="s">
        <v>12</v>
      </c>
      <c r="I69">
        <v>18.899999999999999</v>
      </c>
    </row>
    <row r="70" spans="1:9" x14ac:dyDescent="0.35">
      <c r="A70">
        <v>1071</v>
      </c>
      <c r="B70" s="1">
        <v>44970</v>
      </c>
      <c r="C70" t="s">
        <v>69</v>
      </c>
      <c r="D70" t="s">
        <v>20</v>
      </c>
      <c r="E70" t="s">
        <v>15</v>
      </c>
      <c r="F70">
        <v>8</v>
      </c>
      <c r="G70">
        <v>5.48</v>
      </c>
      <c r="H70" t="s">
        <v>26</v>
      </c>
      <c r="I70">
        <v>43.84</v>
      </c>
    </row>
    <row r="71" spans="1:9" x14ac:dyDescent="0.35">
      <c r="A71">
        <v>1072</v>
      </c>
      <c r="B71" s="1">
        <v>45088</v>
      </c>
      <c r="C71" t="s">
        <v>66</v>
      </c>
      <c r="D71" t="s">
        <v>20</v>
      </c>
      <c r="E71" t="s">
        <v>24</v>
      </c>
      <c r="F71">
        <v>1</v>
      </c>
      <c r="G71">
        <v>3.29</v>
      </c>
      <c r="H71" t="s">
        <v>12</v>
      </c>
      <c r="I71">
        <v>3.29</v>
      </c>
    </row>
    <row r="72" spans="1:9" x14ac:dyDescent="0.35">
      <c r="A72">
        <v>1073</v>
      </c>
      <c r="B72" s="1">
        <v>45128</v>
      </c>
      <c r="C72" t="s">
        <v>70</v>
      </c>
      <c r="D72" t="s">
        <v>14</v>
      </c>
      <c r="E72" t="s">
        <v>15</v>
      </c>
      <c r="F72">
        <v>8</v>
      </c>
      <c r="G72">
        <v>3.82</v>
      </c>
      <c r="H72" t="s">
        <v>26</v>
      </c>
      <c r="I72">
        <v>30.56</v>
      </c>
    </row>
    <row r="73" spans="1:9" x14ac:dyDescent="0.35">
      <c r="A73">
        <v>1074</v>
      </c>
      <c r="B73" s="1">
        <v>45196</v>
      </c>
      <c r="C73" t="s">
        <v>53</v>
      </c>
      <c r="D73" t="s">
        <v>23</v>
      </c>
      <c r="E73" t="s">
        <v>15</v>
      </c>
      <c r="F73">
        <v>4</v>
      </c>
      <c r="G73">
        <v>4.12</v>
      </c>
      <c r="H73" t="s">
        <v>26</v>
      </c>
      <c r="I73">
        <v>16.48</v>
      </c>
    </row>
    <row r="74" spans="1:9" x14ac:dyDescent="0.35">
      <c r="A74">
        <v>1075</v>
      </c>
      <c r="B74" s="1">
        <v>45277</v>
      </c>
      <c r="C74" t="s">
        <v>67</v>
      </c>
      <c r="D74" t="s">
        <v>17</v>
      </c>
      <c r="E74" t="s">
        <v>21</v>
      </c>
      <c r="F74">
        <v>4</v>
      </c>
      <c r="G74">
        <v>4.18</v>
      </c>
      <c r="H74" t="s">
        <v>26</v>
      </c>
      <c r="I74">
        <v>16.72</v>
      </c>
    </row>
    <row r="75" spans="1:9" x14ac:dyDescent="0.35">
      <c r="A75">
        <v>1076</v>
      </c>
      <c r="B75" s="1">
        <v>45230</v>
      </c>
      <c r="C75" t="s">
        <v>71</v>
      </c>
      <c r="D75" t="s">
        <v>14</v>
      </c>
      <c r="E75" t="s">
        <v>18</v>
      </c>
      <c r="F75">
        <v>4</v>
      </c>
      <c r="G75">
        <v>4.0199999999999996</v>
      </c>
      <c r="H75" t="s">
        <v>26</v>
      </c>
      <c r="I75">
        <v>16.079999999999998</v>
      </c>
    </row>
    <row r="76" spans="1:9" x14ac:dyDescent="0.35">
      <c r="A76">
        <v>1077</v>
      </c>
      <c r="B76" s="1">
        <v>45197</v>
      </c>
      <c r="C76" t="s">
        <v>72</v>
      </c>
      <c r="D76" t="s">
        <v>23</v>
      </c>
      <c r="E76" t="s">
        <v>15</v>
      </c>
      <c r="F76">
        <v>6</v>
      </c>
      <c r="G76">
        <v>5.78</v>
      </c>
      <c r="H76" t="s">
        <v>26</v>
      </c>
      <c r="I76">
        <v>34.68</v>
      </c>
    </row>
    <row r="77" spans="1:9" x14ac:dyDescent="0.35">
      <c r="A77">
        <v>1078</v>
      </c>
      <c r="B77" s="1">
        <v>45141</v>
      </c>
      <c r="C77" t="s">
        <v>70</v>
      </c>
      <c r="D77" t="s">
        <v>28</v>
      </c>
      <c r="E77" t="s">
        <v>15</v>
      </c>
      <c r="F77">
        <v>7</v>
      </c>
      <c r="G77">
        <v>4.97</v>
      </c>
      <c r="H77" t="s">
        <v>12</v>
      </c>
      <c r="I77">
        <v>34.79</v>
      </c>
    </row>
    <row r="78" spans="1:9" x14ac:dyDescent="0.35">
      <c r="A78">
        <v>1079</v>
      </c>
      <c r="B78" s="1">
        <v>45178</v>
      </c>
      <c r="C78" t="s">
        <v>73</v>
      </c>
      <c r="D78" t="s">
        <v>10</v>
      </c>
      <c r="E78" t="s">
        <v>11</v>
      </c>
      <c r="F78">
        <v>6</v>
      </c>
      <c r="G78">
        <v>4.71</v>
      </c>
      <c r="H78" t="s">
        <v>12</v>
      </c>
      <c r="I78">
        <v>28.26</v>
      </c>
    </row>
    <row r="79" spans="1:9" x14ac:dyDescent="0.35">
      <c r="A79">
        <v>1080</v>
      </c>
      <c r="B79" s="1">
        <v>45116</v>
      </c>
      <c r="C79" t="s">
        <v>45</v>
      </c>
      <c r="D79" t="s">
        <v>20</v>
      </c>
      <c r="E79" t="s">
        <v>18</v>
      </c>
      <c r="F79">
        <v>1</v>
      </c>
      <c r="G79">
        <v>2.67</v>
      </c>
      <c r="H79" t="s">
        <v>12</v>
      </c>
      <c r="I79">
        <v>2.67</v>
      </c>
    </row>
    <row r="80" spans="1:9" x14ac:dyDescent="0.35">
      <c r="A80">
        <v>1081</v>
      </c>
      <c r="B80" s="1">
        <v>45222</v>
      </c>
      <c r="C80" t="s">
        <v>72</v>
      </c>
      <c r="D80" t="s">
        <v>28</v>
      </c>
      <c r="E80" t="s">
        <v>11</v>
      </c>
      <c r="F80">
        <v>8</v>
      </c>
      <c r="G80">
        <v>5.66</v>
      </c>
      <c r="H80" t="s">
        <v>26</v>
      </c>
      <c r="I80">
        <v>45.28</v>
      </c>
    </row>
    <row r="81" spans="1:9" x14ac:dyDescent="0.35">
      <c r="A81">
        <v>1082</v>
      </c>
      <c r="B81" s="1">
        <v>45139</v>
      </c>
      <c r="C81" t="s">
        <v>74</v>
      </c>
      <c r="D81" t="s">
        <v>23</v>
      </c>
      <c r="E81" t="s">
        <v>18</v>
      </c>
      <c r="F81">
        <v>7</v>
      </c>
      <c r="G81">
        <v>5.68</v>
      </c>
      <c r="H81" t="s">
        <v>26</v>
      </c>
      <c r="I81">
        <v>39.76</v>
      </c>
    </row>
    <row r="82" spans="1:9" x14ac:dyDescent="0.35">
      <c r="A82">
        <v>1083</v>
      </c>
      <c r="B82" s="1">
        <v>45134</v>
      </c>
      <c r="C82" t="s">
        <v>75</v>
      </c>
      <c r="D82" t="s">
        <v>28</v>
      </c>
      <c r="E82" t="s">
        <v>11</v>
      </c>
      <c r="F82">
        <v>6</v>
      </c>
      <c r="G82">
        <v>5.23</v>
      </c>
      <c r="H82" t="s">
        <v>12</v>
      </c>
      <c r="I82">
        <v>31.38</v>
      </c>
    </row>
    <row r="83" spans="1:9" x14ac:dyDescent="0.35">
      <c r="A83">
        <v>1084</v>
      </c>
      <c r="B83" s="1">
        <v>45163</v>
      </c>
      <c r="C83" t="s">
        <v>25</v>
      </c>
      <c r="D83" t="s">
        <v>10</v>
      </c>
      <c r="E83" t="s">
        <v>15</v>
      </c>
      <c r="F83">
        <v>6</v>
      </c>
      <c r="G83">
        <v>2.52</v>
      </c>
      <c r="H83" t="s">
        <v>26</v>
      </c>
      <c r="I83">
        <v>15.12</v>
      </c>
    </row>
    <row r="84" spans="1:9" x14ac:dyDescent="0.35">
      <c r="A84">
        <v>1085</v>
      </c>
      <c r="B84" s="1">
        <v>45264</v>
      </c>
      <c r="C84" t="s">
        <v>46</v>
      </c>
      <c r="D84" t="s">
        <v>23</v>
      </c>
      <c r="E84" t="s">
        <v>15</v>
      </c>
      <c r="F84">
        <v>5</v>
      </c>
      <c r="G84">
        <v>2.7</v>
      </c>
      <c r="H84" t="s">
        <v>26</v>
      </c>
      <c r="I84">
        <v>13.5</v>
      </c>
    </row>
    <row r="85" spans="1:9" x14ac:dyDescent="0.35">
      <c r="A85">
        <v>1086</v>
      </c>
      <c r="B85" s="1">
        <v>44979</v>
      </c>
      <c r="C85" t="s">
        <v>76</v>
      </c>
      <c r="D85" t="s">
        <v>28</v>
      </c>
      <c r="E85" t="s">
        <v>21</v>
      </c>
      <c r="F85">
        <v>6</v>
      </c>
      <c r="G85">
        <v>3.29</v>
      </c>
      <c r="H85" t="s">
        <v>12</v>
      </c>
      <c r="I85">
        <v>19.739999999999998</v>
      </c>
    </row>
    <row r="86" spans="1:9" x14ac:dyDescent="0.35">
      <c r="A86">
        <v>1087</v>
      </c>
      <c r="B86" s="1">
        <v>45206</v>
      </c>
      <c r="C86" t="s">
        <v>61</v>
      </c>
      <c r="D86" t="s">
        <v>20</v>
      </c>
      <c r="E86" t="s">
        <v>11</v>
      </c>
      <c r="F86">
        <v>9</v>
      </c>
      <c r="G86">
        <v>2.96</v>
      </c>
      <c r="H86" t="s">
        <v>26</v>
      </c>
      <c r="I86">
        <v>26.64</v>
      </c>
    </row>
    <row r="87" spans="1:9" x14ac:dyDescent="0.35">
      <c r="A87">
        <v>1088</v>
      </c>
      <c r="B87" s="1">
        <v>45143</v>
      </c>
      <c r="C87" t="s">
        <v>62</v>
      </c>
      <c r="D87" t="s">
        <v>20</v>
      </c>
      <c r="E87" t="s">
        <v>24</v>
      </c>
      <c r="F87">
        <v>9</v>
      </c>
      <c r="G87">
        <v>3.9</v>
      </c>
      <c r="H87" t="s">
        <v>12</v>
      </c>
      <c r="I87">
        <v>35.1</v>
      </c>
    </row>
    <row r="88" spans="1:9" x14ac:dyDescent="0.35">
      <c r="A88">
        <v>1089</v>
      </c>
      <c r="B88" s="1">
        <v>45178</v>
      </c>
      <c r="C88" t="s">
        <v>35</v>
      </c>
      <c r="D88" t="s">
        <v>14</v>
      </c>
      <c r="E88" t="s">
        <v>21</v>
      </c>
      <c r="F88">
        <v>8</v>
      </c>
      <c r="G88">
        <v>5.73</v>
      </c>
      <c r="H88" t="s">
        <v>26</v>
      </c>
      <c r="I88">
        <v>45.84</v>
      </c>
    </row>
    <row r="89" spans="1:9" x14ac:dyDescent="0.35">
      <c r="A89">
        <v>1090</v>
      </c>
      <c r="B89" s="1">
        <v>45114</v>
      </c>
      <c r="C89" t="s">
        <v>45</v>
      </c>
      <c r="D89" t="s">
        <v>28</v>
      </c>
      <c r="E89" t="s">
        <v>11</v>
      </c>
      <c r="F89">
        <v>9</v>
      </c>
      <c r="G89">
        <v>4.1500000000000004</v>
      </c>
      <c r="H89" t="s">
        <v>12</v>
      </c>
      <c r="I89">
        <v>37.35</v>
      </c>
    </row>
    <row r="90" spans="1:9" x14ac:dyDescent="0.35">
      <c r="A90">
        <v>1091</v>
      </c>
      <c r="B90" s="1">
        <v>44967</v>
      </c>
      <c r="C90" t="s">
        <v>58</v>
      </c>
      <c r="D90" t="s">
        <v>17</v>
      </c>
      <c r="E90" t="s">
        <v>11</v>
      </c>
      <c r="F90">
        <v>8</v>
      </c>
      <c r="G90">
        <v>2.5499999999999998</v>
      </c>
      <c r="H90" t="s">
        <v>26</v>
      </c>
      <c r="I90">
        <v>20.399999999999999</v>
      </c>
    </row>
    <row r="91" spans="1:9" x14ac:dyDescent="0.35">
      <c r="A91">
        <v>1092</v>
      </c>
      <c r="B91" s="1">
        <v>45083</v>
      </c>
      <c r="C91" t="s">
        <v>43</v>
      </c>
      <c r="D91" t="s">
        <v>28</v>
      </c>
      <c r="E91" t="s">
        <v>21</v>
      </c>
      <c r="F91">
        <v>8</v>
      </c>
      <c r="G91">
        <v>3.49</v>
      </c>
      <c r="H91" t="s">
        <v>26</v>
      </c>
      <c r="I91">
        <v>27.92</v>
      </c>
    </row>
    <row r="92" spans="1:9" x14ac:dyDescent="0.35">
      <c r="A92">
        <v>1093</v>
      </c>
      <c r="B92" s="1">
        <v>44941</v>
      </c>
      <c r="C92" t="s">
        <v>39</v>
      </c>
      <c r="D92" t="s">
        <v>23</v>
      </c>
      <c r="E92" t="s">
        <v>15</v>
      </c>
      <c r="F92">
        <v>1</v>
      </c>
      <c r="G92">
        <v>2.66</v>
      </c>
      <c r="H92" t="s">
        <v>12</v>
      </c>
      <c r="I92">
        <v>2.66</v>
      </c>
    </row>
    <row r="93" spans="1:9" x14ac:dyDescent="0.35">
      <c r="A93">
        <v>1094</v>
      </c>
      <c r="B93" s="1">
        <v>45227</v>
      </c>
      <c r="C93" t="s">
        <v>38</v>
      </c>
      <c r="D93" t="s">
        <v>23</v>
      </c>
      <c r="E93" t="s">
        <v>11</v>
      </c>
      <c r="F93">
        <v>5</v>
      </c>
      <c r="G93">
        <v>2.63</v>
      </c>
      <c r="H93" t="s">
        <v>26</v>
      </c>
      <c r="I93">
        <v>13.15</v>
      </c>
    </row>
    <row r="94" spans="1:9" x14ac:dyDescent="0.35">
      <c r="A94">
        <v>1095</v>
      </c>
      <c r="B94" s="1">
        <v>44991</v>
      </c>
      <c r="C94" t="s">
        <v>34</v>
      </c>
      <c r="D94" t="s">
        <v>28</v>
      </c>
      <c r="E94" t="s">
        <v>15</v>
      </c>
      <c r="F94">
        <v>4</v>
      </c>
      <c r="G94">
        <v>3.47</v>
      </c>
      <c r="H94" t="s">
        <v>26</v>
      </c>
      <c r="I94">
        <v>13.88</v>
      </c>
    </row>
    <row r="95" spans="1:9" x14ac:dyDescent="0.35">
      <c r="A95">
        <v>1096</v>
      </c>
      <c r="B95" s="1">
        <v>45271</v>
      </c>
      <c r="C95" t="s">
        <v>73</v>
      </c>
      <c r="D95" t="s">
        <v>10</v>
      </c>
      <c r="E95" t="s">
        <v>21</v>
      </c>
      <c r="F95">
        <v>2</v>
      </c>
      <c r="G95">
        <v>3.46</v>
      </c>
      <c r="H95" t="s">
        <v>12</v>
      </c>
      <c r="I95">
        <v>6.92</v>
      </c>
    </row>
    <row r="96" spans="1:9" x14ac:dyDescent="0.35">
      <c r="A96">
        <v>1097</v>
      </c>
      <c r="B96" s="1">
        <v>45253</v>
      </c>
      <c r="C96" t="s">
        <v>62</v>
      </c>
      <c r="D96" t="s">
        <v>20</v>
      </c>
      <c r="E96" t="s">
        <v>15</v>
      </c>
      <c r="F96">
        <v>8</v>
      </c>
      <c r="G96">
        <v>5.25</v>
      </c>
      <c r="H96" t="s">
        <v>26</v>
      </c>
      <c r="I96">
        <v>42</v>
      </c>
    </row>
    <row r="97" spans="1:9" x14ac:dyDescent="0.35">
      <c r="A97">
        <v>1098</v>
      </c>
      <c r="B97" s="1">
        <v>44935</v>
      </c>
      <c r="C97" t="s">
        <v>22</v>
      </c>
      <c r="D97" t="s">
        <v>23</v>
      </c>
      <c r="E97" t="s">
        <v>18</v>
      </c>
      <c r="F97">
        <v>3</v>
      </c>
      <c r="G97">
        <v>5.91</v>
      </c>
      <c r="H97" t="s">
        <v>12</v>
      </c>
      <c r="I97">
        <v>17.73</v>
      </c>
    </row>
    <row r="98" spans="1:9" x14ac:dyDescent="0.35">
      <c r="A98">
        <v>1099</v>
      </c>
      <c r="B98" s="1">
        <v>45270</v>
      </c>
      <c r="C98" t="s">
        <v>77</v>
      </c>
      <c r="D98" t="s">
        <v>20</v>
      </c>
      <c r="E98" t="s">
        <v>24</v>
      </c>
      <c r="F98">
        <v>4</v>
      </c>
      <c r="G98">
        <v>3.8</v>
      </c>
      <c r="H98" t="s">
        <v>26</v>
      </c>
      <c r="I98">
        <v>15.2</v>
      </c>
    </row>
    <row r="99" spans="1:9" x14ac:dyDescent="0.35">
      <c r="A99">
        <v>1101</v>
      </c>
      <c r="B99" s="1">
        <v>45062</v>
      </c>
      <c r="C99" t="s">
        <v>75</v>
      </c>
      <c r="D99" t="s">
        <v>14</v>
      </c>
      <c r="E99" t="s">
        <v>24</v>
      </c>
      <c r="F99">
        <v>9</v>
      </c>
      <c r="G99">
        <v>5.46</v>
      </c>
      <c r="H99" t="s">
        <v>26</v>
      </c>
      <c r="I99">
        <v>49.14</v>
      </c>
    </row>
    <row r="100" spans="1:9" x14ac:dyDescent="0.35">
      <c r="A100">
        <v>1102</v>
      </c>
      <c r="B100" s="1">
        <v>44989</v>
      </c>
      <c r="C100" t="s">
        <v>37</v>
      </c>
      <c r="D100" t="s">
        <v>17</v>
      </c>
      <c r="E100" t="s">
        <v>15</v>
      </c>
      <c r="F100">
        <v>2</v>
      </c>
      <c r="G100">
        <v>3.44</v>
      </c>
      <c r="H100" t="s">
        <v>26</v>
      </c>
      <c r="I100">
        <v>6.88</v>
      </c>
    </row>
    <row r="101" spans="1:9" x14ac:dyDescent="0.35">
      <c r="A101">
        <v>1103</v>
      </c>
      <c r="B101" s="1">
        <v>45065</v>
      </c>
      <c r="C101" t="s">
        <v>55</v>
      </c>
      <c r="D101" t="s">
        <v>23</v>
      </c>
      <c r="E101" t="s">
        <v>11</v>
      </c>
      <c r="F101">
        <v>3</v>
      </c>
      <c r="G101">
        <v>3.05</v>
      </c>
      <c r="H101" t="s">
        <v>12</v>
      </c>
      <c r="I101">
        <v>9.15</v>
      </c>
    </row>
    <row r="102" spans="1:9" x14ac:dyDescent="0.35">
      <c r="A102">
        <v>1104</v>
      </c>
      <c r="B102" s="1">
        <v>45007</v>
      </c>
      <c r="C102" t="s">
        <v>79</v>
      </c>
      <c r="D102" t="s">
        <v>20</v>
      </c>
      <c r="E102" t="s">
        <v>15</v>
      </c>
      <c r="F102">
        <v>4</v>
      </c>
      <c r="G102">
        <v>5.49</v>
      </c>
      <c r="H102" t="s">
        <v>26</v>
      </c>
      <c r="I102">
        <v>21.96</v>
      </c>
    </row>
    <row r="103" spans="1:9" x14ac:dyDescent="0.35">
      <c r="A103">
        <v>1105</v>
      </c>
      <c r="B103" s="1">
        <v>45089</v>
      </c>
      <c r="C103" t="s">
        <v>40</v>
      </c>
      <c r="D103" t="s">
        <v>14</v>
      </c>
      <c r="E103" t="s">
        <v>18</v>
      </c>
      <c r="F103">
        <v>1</v>
      </c>
      <c r="G103">
        <v>2.66</v>
      </c>
      <c r="H103" t="s">
        <v>12</v>
      </c>
      <c r="I103">
        <v>2.66</v>
      </c>
    </row>
    <row r="104" spans="1:9" x14ac:dyDescent="0.35">
      <c r="A104">
        <v>1106</v>
      </c>
      <c r="B104" s="1">
        <v>45215</v>
      </c>
      <c r="C104" t="s">
        <v>33</v>
      </c>
      <c r="D104" t="s">
        <v>23</v>
      </c>
      <c r="E104" t="s">
        <v>21</v>
      </c>
      <c r="F104">
        <v>7</v>
      </c>
      <c r="G104">
        <v>4.67</v>
      </c>
      <c r="H104" t="s">
        <v>26</v>
      </c>
      <c r="I104">
        <v>32.69</v>
      </c>
    </row>
    <row r="105" spans="1:9" x14ac:dyDescent="0.35">
      <c r="A105">
        <v>1107</v>
      </c>
      <c r="B105" s="1">
        <v>45187</v>
      </c>
      <c r="C105" t="s">
        <v>58</v>
      </c>
      <c r="D105" t="s">
        <v>10</v>
      </c>
      <c r="E105" t="s">
        <v>11</v>
      </c>
      <c r="F105">
        <v>2</v>
      </c>
      <c r="G105">
        <v>4.47</v>
      </c>
      <c r="H105" t="s">
        <v>26</v>
      </c>
      <c r="I105">
        <v>8.94</v>
      </c>
    </row>
    <row r="106" spans="1:9" x14ac:dyDescent="0.35">
      <c r="A106">
        <v>1108</v>
      </c>
      <c r="B106" s="1">
        <v>45157</v>
      </c>
      <c r="C106" t="s">
        <v>63</v>
      </c>
      <c r="D106" t="s">
        <v>17</v>
      </c>
      <c r="E106" t="s">
        <v>18</v>
      </c>
      <c r="F106">
        <v>5</v>
      </c>
      <c r="G106">
        <v>3.71</v>
      </c>
      <c r="H106" t="s">
        <v>26</v>
      </c>
      <c r="I106">
        <v>18.55</v>
      </c>
    </row>
    <row r="107" spans="1:9" x14ac:dyDescent="0.35">
      <c r="A107">
        <v>1109</v>
      </c>
      <c r="B107" s="1">
        <v>44967</v>
      </c>
      <c r="C107" t="s">
        <v>80</v>
      </c>
      <c r="D107" t="s">
        <v>23</v>
      </c>
      <c r="E107" t="s">
        <v>18</v>
      </c>
      <c r="F107">
        <v>1</v>
      </c>
      <c r="G107">
        <v>3.6</v>
      </c>
      <c r="H107" t="s">
        <v>102</v>
      </c>
      <c r="I107">
        <v>3.6</v>
      </c>
    </row>
    <row r="108" spans="1:9" x14ac:dyDescent="0.35">
      <c r="A108">
        <v>1110</v>
      </c>
      <c r="B108" s="1">
        <v>44954</v>
      </c>
      <c r="C108" t="s">
        <v>81</v>
      </c>
      <c r="D108" t="s">
        <v>14</v>
      </c>
      <c r="E108" t="s">
        <v>11</v>
      </c>
      <c r="F108">
        <v>3</v>
      </c>
      <c r="G108">
        <v>5.2</v>
      </c>
      <c r="H108" t="s">
        <v>12</v>
      </c>
      <c r="I108">
        <v>15.6</v>
      </c>
    </row>
    <row r="109" spans="1:9" x14ac:dyDescent="0.35">
      <c r="A109">
        <v>1111</v>
      </c>
      <c r="B109" s="1">
        <v>45061</v>
      </c>
      <c r="C109" t="s">
        <v>47</v>
      </c>
      <c r="D109" t="s">
        <v>10</v>
      </c>
      <c r="E109" t="s">
        <v>15</v>
      </c>
      <c r="F109">
        <v>2</v>
      </c>
      <c r="G109">
        <v>2.8</v>
      </c>
      <c r="H109" t="s">
        <v>12</v>
      </c>
      <c r="I109">
        <v>5.6</v>
      </c>
    </row>
    <row r="110" spans="1:9" x14ac:dyDescent="0.35">
      <c r="A110">
        <v>1112</v>
      </c>
      <c r="B110" s="1">
        <v>45127</v>
      </c>
      <c r="C110" t="s">
        <v>82</v>
      </c>
      <c r="D110" t="s">
        <v>28</v>
      </c>
      <c r="E110" t="s">
        <v>18</v>
      </c>
      <c r="F110">
        <v>1</v>
      </c>
      <c r="G110">
        <v>3.33</v>
      </c>
      <c r="H110" t="s">
        <v>12</v>
      </c>
      <c r="I110">
        <v>3.33</v>
      </c>
    </row>
    <row r="111" spans="1:9" x14ac:dyDescent="0.35">
      <c r="A111">
        <v>1113</v>
      </c>
      <c r="B111" s="1">
        <v>45254</v>
      </c>
      <c r="C111" t="s">
        <v>83</v>
      </c>
      <c r="D111" t="s">
        <v>14</v>
      </c>
      <c r="E111" t="s">
        <v>24</v>
      </c>
      <c r="F111">
        <v>7</v>
      </c>
      <c r="G111">
        <v>5.0599999999999996</v>
      </c>
      <c r="H111" t="s">
        <v>12</v>
      </c>
      <c r="I111">
        <v>35.42</v>
      </c>
    </row>
    <row r="112" spans="1:9" x14ac:dyDescent="0.35">
      <c r="A112">
        <v>1114</v>
      </c>
      <c r="B112" s="1">
        <v>45194</v>
      </c>
      <c r="C112" t="s">
        <v>60</v>
      </c>
      <c r="D112" t="s">
        <v>14</v>
      </c>
      <c r="E112" t="s">
        <v>18</v>
      </c>
      <c r="F112">
        <v>5</v>
      </c>
      <c r="G112">
        <v>4.42</v>
      </c>
      <c r="H112" t="s">
        <v>26</v>
      </c>
      <c r="I112">
        <v>22.1</v>
      </c>
    </row>
    <row r="113" spans="1:9" x14ac:dyDescent="0.35">
      <c r="A113">
        <v>1115</v>
      </c>
      <c r="B113" s="1">
        <v>44959</v>
      </c>
      <c r="C113" t="s">
        <v>29</v>
      </c>
      <c r="D113" t="s">
        <v>10</v>
      </c>
      <c r="E113" t="s">
        <v>15</v>
      </c>
      <c r="F113">
        <v>1</v>
      </c>
      <c r="G113">
        <v>2.95</v>
      </c>
      <c r="H113" t="s">
        <v>12</v>
      </c>
      <c r="I113">
        <v>2.95</v>
      </c>
    </row>
    <row r="114" spans="1:9" x14ac:dyDescent="0.35">
      <c r="A114">
        <v>1116</v>
      </c>
      <c r="B114" s="1">
        <v>44974</v>
      </c>
      <c r="C114" t="s">
        <v>84</v>
      </c>
      <c r="D114" t="s">
        <v>14</v>
      </c>
      <c r="E114" t="s">
        <v>15</v>
      </c>
      <c r="F114">
        <v>6</v>
      </c>
      <c r="G114">
        <v>5.59</v>
      </c>
      <c r="H114" t="s">
        <v>12</v>
      </c>
      <c r="I114">
        <v>33.54</v>
      </c>
    </row>
    <row r="115" spans="1:9" x14ac:dyDescent="0.35">
      <c r="A115">
        <v>1117</v>
      </c>
      <c r="B115" s="1">
        <v>44988</v>
      </c>
      <c r="C115" t="s">
        <v>72</v>
      </c>
      <c r="D115" t="s">
        <v>10</v>
      </c>
      <c r="E115" t="s">
        <v>24</v>
      </c>
      <c r="F115">
        <v>5</v>
      </c>
      <c r="G115">
        <v>3.88</v>
      </c>
      <c r="H115" t="s">
        <v>26</v>
      </c>
      <c r="I115">
        <v>19.399999999999999</v>
      </c>
    </row>
    <row r="116" spans="1:9" x14ac:dyDescent="0.35">
      <c r="A116">
        <v>1118</v>
      </c>
      <c r="B116" s="1">
        <v>45142</v>
      </c>
      <c r="C116" t="s">
        <v>35</v>
      </c>
      <c r="D116" t="s">
        <v>23</v>
      </c>
      <c r="E116" t="s">
        <v>18</v>
      </c>
      <c r="F116">
        <v>3</v>
      </c>
      <c r="G116">
        <v>5.4</v>
      </c>
      <c r="H116" t="s">
        <v>26</v>
      </c>
      <c r="I116">
        <v>16.2</v>
      </c>
    </row>
    <row r="117" spans="1:9" x14ac:dyDescent="0.35">
      <c r="A117">
        <v>1119</v>
      </c>
      <c r="B117" s="1">
        <v>45219</v>
      </c>
      <c r="C117" t="s">
        <v>60</v>
      </c>
      <c r="D117" t="s">
        <v>10</v>
      </c>
      <c r="E117" t="s">
        <v>15</v>
      </c>
      <c r="F117">
        <v>7</v>
      </c>
      <c r="G117">
        <v>5.26</v>
      </c>
      <c r="H117" t="s">
        <v>26</v>
      </c>
      <c r="I117">
        <v>36.82</v>
      </c>
    </row>
    <row r="118" spans="1:9" x14ac:dyDescent="0.35">
      <c r="A118">
        <v>1120</v>
      </c>
      <c r="B118" s="1">
        <v>45025</v>
      </c>
      <c r="C118" t="s">
        <v>72</v>
      </c>
      <c r="D118" t="s">
        <v>10</v>
      </c>
      <c r="E118" t="s">
        <v>11</v>
      </c>
      <c r="F118">
        <v>9</v>
      </c>
      <c r="G118">
        <v>4.6900000000000004</v>
      </c>
      <c r="H118" t="s">
        <v>26</v>
      </c>
      <c r="I118">
        <v>42.21</v>
      </c>
    </row>
    <row r="119" spans="1:9" x14ac:dyDescent="0.35">
      <c r="A119">
        <v>1121</v>
      </c>
      <c r="B119" s="1">
        <v>45098</v>
      </c>
      <c r="C119" t="s">
        <v>32</v>
      </c>
      <c r="D119" t="s">
        <v>17</v>
      </c>
      <c r="E119" t="s">
        <v>21</v>
      </c>
      <c r="F119">
        <v>9</v>
      </c>
      <c r="G119">
        <v>4.2300000000000004</v>
      </c>
      <c r="H119" t="s">
        <v>12</v>
      </c>
      <c r="I119">
        <v>38.07</v>
      </c>
    </row>
    <row r="120" spans="1:9" x14ac:dyDescent="0.35">
      <c r="A120">
        <v>1122</v>
      </c>
      <c r="B120" s="1">
        <v>45286</v>
      </c>
      <c r="C120" t="s">
        <v>80</v>
      </c>
      <c r="D120" t="s">
        <v>10</v>
      </c>
      <c r="E120" t="s">
        <v>21</v>
      </c>
      <c r="F120">
        <v>9</v>
      </c>
      <c r="G120">
        <v>5.93</v>
      </c>
      <c r="H120" t="s">
        <v>12</v>
      </c>
      <c r="I120">
        <v>53.37</v>
      </c>
    </row>
    <row r="121" spans="1:9" x14ac:dyDescent="0.35">
      <c r="A121">
        <v>1123</v>
      </c>
      <c r="B121" s="1">
        <v>45140</v>
      </c>
      <c r="C121" t="s">
        <v>38</v>
      </c>
      <c r="D121" t="s">
        <v>10</v>
      </c>
      <c r="E121" t="s">
        <v>21</v>
      </c>
      <c r="F121">
        <v>2</v>
      </c>
      <c r="G121">
        <v>3.01</v>
      </c>
      <c r="H121" t="s">
        <v>26</v>
      </c>
      <c r="I121">
        <v>6.02</v>
      </c>
    </row>
    <row r="122" spans="1:9" x14ac:dyDescent="0.35">
      <c r="A122">
        <v>1124</v>
      </c>
      <c r="B122" s="1">
        <v>44961</v>
      </c>
      <c r="C122" t="s">
        <v>45</v>
      </c>
      <c r="D122" t="s">
        <v>28</v>
      </c>
      <c r="E122" t="s">
        <v>18</v>
      </c>
      <c r="F122">
        <v>3</v>
      </c>
      <c r="G122">
        <v>5.04</v>
      </c>
      <c r="H122" t="s">
        <v>26</v>
      </c>
      <c r="I122">
        <v>15.12</v>
      </c>
    </row>
    <row r="123" spans="1:9" x14ac:dyDescent="0.35">
      <c r="A123">
        <v>1125</v>
      </c>
      <c r="B123" s="1">
        <v>45153</v>
      </c>
      <c r="C123" t="s">
        <v>85</v>
      </c>
      <c r="D123" t="s">
        <v>23</v>
      </c>
      <c r="E123" t="s">
        <v>24</v>
      </c>
      <c r="F123">
        <v>7</v>
      </c>
      <c r="G123">
        <v>3.17</v>
      </c>
      <c r="H123" t="s">
        <v>26</v>
      </c>
      <c r="I123">
        <v>22.19</v>
      </c>
    </row>
    <row r="124" spans="1:9" x14ac:dyDescent="0.35">
      <c r="A124">
        <v>1126</v>
      </c>
      <c r="B124" s="1">
        <v>45027</v>
      </c>
      <c r="C124" t="s">
        <v>86</v>
      </c>
      <c r="D124" t="s">
        <v>17</v>
      </c>
      <c r="E124" t="s">
        <v>15</v>
      </c>
      <c r="F124">
        <v>5</v>
      </c>
      <c r="G124">
        <v>3.68</v>
      </c>
      <c r="H124" t="s">
        <v>12</v>
      </c>
      <c r="I124">
        <v>18.399999999999999</v>
      </c>
    </row>
    <row r="125" spans="1:9" x14ac:dyDescent="0.35">
      <c r="A125">
        <v>1127</v>
      </c>
      <c r="B125" s="1">
        <v>45057</v>
      </c>
      <c r="C125" t="s">
        <v>29</v>
      </c>
      <c r="D125" t="s">
        <v>28</v>
      </c>
      <c r="E125" t="s">
        <v>11</v>
      </c>
      <c r="F125">
        <v>2</v>
      </c>
      <c r="G125">
        <v>3.58</v>
      </c>
      <c r="H125" t="s">
        <v>12</v>
      </c>
      <c r="I125">
        <v>7.16</v>
      </c>
    </row>
    <row r="126" spans="1:9" x14ac:dyDescent="0.35">
      <c r="A126">
        <v>1128</v>
      </c>
      <c r="B126" s="1">
        <v>45183</v>
      </c>
      <c r="C126" t="s">
        <v>72</v>
      </c>
      <c r="D126" t="s">
        <v>20</v>
      </c>
      <c r="E126" t="s">
        <v>11</v>
      </c>
      <c r="F126">
        <v>3</v>
      </c>
      <c r="G126">
        <v>5.81</v>
      </c>
      <c r="H126" t="s">
        <v>26</v>
      </c>
      <c r="I126">
        <v>17.43</v>
      </c>
    </row>
    <row r="127" spans="1:9" x14ac:dyDescent="0.35">
      <c r="A127">
        <v>1129</v>
      </c>
      <c r="B127" s="1">
        <v>44931</v>
      </c>
      <c r="C127" t="s">
        <v>87</v>
      </c>
      <c r="D127" t="s">
        <v>23</v>
      </c>
      <c r="E127" t="s">
        <v>18</v>
      </c>
      <c r="F127">
        <v>6</v>
      </c>
      <c r="G127">
        <v>5.89</v>
      </c>
      <c r="H127" t="s">
        <v>26</v>
      </c>
      <c r="I127">
        <v>35.340000000000003</v>
      </c>
    </row>
    <row r="128" spans="1:9" x14ac:dyDescent="0.35">
      <c r="A128">
        <v>1130</v>
      </c>
      <c r="B128" s="1">
        <v>45144</v>
      </c>
      <c r="C128" t="s">
        <v>88</v>
      </c>
      <c r="D128" t="s">
        <v>23</v>
      </c>
      <c r="E128" t="s">
        <v>21</v>
      </c>
      <c r="F128">
        <v>7</v>
      </c>
      <c r="G128">
        <v>3.14</v>
      </c>
      <c r="H128" t="s">
        <v>12</v>
      </c>
      <c r="I128">
        <v>21.98</v>
      </c>
    </row>
    <row r="129" spans="1:9" x14ac:dyDescent="0.35">
      <c r="A129">
        <v>1131</v>
      </c>
      <c r="B129" s="1">
        <v>45181</v>
      </c>
      <c r="C129" t="s">
        <v>89</v>
      </c>
      <c r="D129" t="s">
        <v>20</v>
      </c>
      <c r="E129" t="s">
        <v>18</v>
      </c>
      <c r="F129">
        <v>9</v>
      </c>
      <c r="G129">
        <v>2.58</v>
      </c>
      <c r="H129" t="s">
        <v>26</v>
      </c>
      <c r="I129">
        <v>23.22</v>
      </c>
    </row>
    <row r="130" spans="1:9" x14ac:dyDescent="0.35">
      <c r="A130">
        <v>1132</v>
      </c>
      <c r="B130" s="1">
        <v>45285</v>
      </c>
      <c r="C130" t="s">
        <v>54</v>
      </c>
      <c r="D130" t="s">
        <v>10</v>
      </c>
      <c r="E130" t="s">
        <v>24</v>
      </c>
      <c r="F130">
        <v>1</v>
      </c>
      <c r="G130">
        <v>5.0199999999999996</v>
      </c>
      <c r="H130" t="s">
        <v>26</v>
      </c>
      <c r="I130">
        <v>5.0199999999999996</v>
      </c>
    </row>
    <row r="131" spans="1:9" x14ac:dyDescent="0.35">
      <c r="A131">
        <v>1133</v>
      </c>
      <c r="B131" s="1">
        <v>45209</v>
      </c>
      <c r="C131" t="s">
        <v>90</v>
      </c>
      <c r="D131" t="s">
        <v>28</v>
      </c>
      <c r="E131" t="s">
        <v>24</v>
      </c>
      <c r="F131">
        <v>7</v>
      </c>
      <c r="G131">
        <v>3.96</v>
      </c>
      <c r="H131" t="s">
        <v>12</v>
      </c>
      <c r="I131">
        <v>27.72</v>
      </c>
    </row>
    <row r="132" spans="1:9" x14ac:dyDescent="0.35">
      <c r="A132">
        <v>1134</v>
      </c>
      <c r="B132" s="1">
        <v>45133</v>
      </c>
      <c r="C132" t="s">
        <v>69</v>
      </c>
      <c r="D132" t="s">
        <v>14</v>
      </c>
      <c r="E132" t="s">
        <v>15</v>
      </c>
      <c r="F132">
        <v>8</v>
      </c>
      <c r="G132">
        <v>2.81</v>
      </c>
      <c r="H132" t="s">
        <v>26</v>
      </c>
      <c r="I132">
        <v>22.48</v>
      </c>
    </row>
    <row r="133" spans="1:9" x14ac:dyDescent="0.35">
      <c r="A133">
        <v>1135</v>
      </c>
      <c r="B133" s="1">
        <v>44941</v>
      </c>
      <c r="C133" t="s">
        <v>91</v>
      </c>
      <c r="D133" t="s">
        <v>17</v>
      </c>
      <c r="E133" t="s">
        <v>15</v>
      </c>
      <c r="F133">
        <v>3</v>
      </c>
      <c r="G133">
        <v>4.8899999999999997</v>
      </c>
      <c r="H133" t="s">
        <v>12</v>
      </c>
      <c r="I133">
        <v>14.67</v>
      </c>
    </row>
    <row r="134" spans="1:9" x14ac:dyDescent="0.35">
      <c r="A134">
        <v>1136</v>
      </c>
      <c r="B134" s="1">
        <v>45272</v>
      </c>
      <c r="C134" t="s">
        <v>27</v>
      </c>
      <c r="D134" t="s">
        <v>14</v>
      </c>
      <c r="E134" t="s">
        <v>24</v>
      </c>
      <c r="F134">
        <v>4</v>
      </c>
      <c r="G134">
        <v>4.41</v>
      </c>
      <c r="H134" t="s">
        <v>26</v>
      </c>
      <c r="I134">
        <v>17.64</v>
      </c>
    </row>
    <row r="135" spans="1:9" x14ac:dyDescent="0.35">
      <c r="A135">
        <v>1138</v>
      </c>
      <c r="B135" s="1">
        <v>45105</v>
      </c>
      <c r="C135" t="s">
        <v>92</v>
      </c>
      <c r="D135" t="s">
        <v>23</v>
      </c>
      <c r="E135" t="s">
        <v>24</v>
      </c>
      <c r="F135">
        <v>7</v>
      </c>
      <c r="G135">
        <v>3.3</v>
      </c>
      <c r="H135" t="s">
        <v>12</v>
      </c>
      <c r="I135">
        <v>23.1</v>
      </c>
    </row>
    <row r="136" spans="1:9" x14ac:dyDescent="0.35">
      <c r="A136">
        <v>1139</v>
      </c>
      <c r="B136" s="1">
        <v>44989</v>
      </c>
      <c r="C136" t="s">
        <v>45</v>
      </c>
      <c r="D136" t="s">
        <v>23</v>
      </c>
      <c r="E136" t="s">
        <v>18</v>
      </c>
      <c r="F136">
        <v>4</v>
      </c>
      <c r="G136">
        <v>3.91</v>
      </c>
      <c r="H136" t="s">
        <v>12</v>
      </c>
      <c r="I136">
        <v>15.64</v>
      </c>
    </row>
    <row r="137" spans="1:9" x14ac:dyDescent="0.35">
      <c r="A137">
        <v>1140</v>
      </c>
      <c r="B137" s="1">
        <v>45278</v>
      </c>
      <c r="C137" t="s">
        <v>36</v>
      </c>
      <c r="D137" t="s">
        <v>17</v>
      </c>
      <c r="E137" t="s">
        <v>24</v>
      </c>
      <c r="F137">
        <v>8</v>
      </c>
      <c r="G137">
        <v>4.4000000000000004</v>
      </c>
      <c r="H137" t="s">
        <v>26</v>
      </c>
      <c r="I137">
        <v>35.200000000000003</v>
      </c>
    </row>
    <row r="138" spans="1:9" x14ac:dyDescent="0.35">
      <c r="A138">
        <v>1141</v>
      </c>
      <c r="B138" s="1">
        <v>45157</v>
      </c>
      <c r="C138" t="s">
        <v>80</v>
      </c>
      <c r="D138" t="s">
        <v>23</v>
      </c>
      <c r="E138" t="s">
        <v>11</v>
      </c>
      <c r="F138">
        <v>5</v>
      </c>
      <c r="G138">
        <v>5.27</v>
      </c>
      <c r="H138" t="s">
        <v>12</v>
      </c>
      <c r="I138">
        <v>26.35</v>
      </c>
    </row>
    <row r="139" spans="1:9" x14ac:dyDescent="0.35">
      <c r="A139">
        <v>1142</v>
      </c>
      <c r="B139" s="1">
        <v>45167</v>
      </c>
      <c r="C139" t="s">
        <v>13</v>
      </c>
      <c r="D139" t="s">
        <v>23</v>
      </c>
      <c r="E139" t="s">
        <v>21</v>
      </c>
      <c r="F139">
        <v>1</v>
      </c>
      <c r="G139">
        <v>4.42</v>
      </c>
      <c r="H139" t="s">
        <v>26</v>
      </c>
      <c r="I139">
        <v>4.42</v>
      </c>
    </row>
    <row r="140" spans="1:9" x14ac:dyDescent="0.35">
      <c r="A140">
        <v>1143</v>
      </c>
      <c r="B140" s="1">
        <v>44978</v>
      </c>
      <c r="C140" t="s">
        <v>80</v>
      </c>
      <c r="D140" t="s">
        <v>17</v>
      </c>
      <c r="E140" t="s">
        <v>24</v>
      </c>
      <c r="F140">
        <v>4</v>
      </c>
      <c r="G140">
        <v>4.6500000000000004</v>
      </c>
      <c r="H140" t="s">
        <v>26</v>
      </c>
      <c r="I140">
        <v>18.600000000000001</v>
      </c>
    </row>
    <row r="141" spans="1:9" x14ac:dyDescent="0.35">
      <c r="A141">
        <v>1144</v>
      </c>
      <c r="B141" s="1">
        <v>45022</v>
      </c>
      <c r="C141" t="s">
        <v>29</v>
      </c>
      <c r="D141" t="s">
        <v>28</v>
      </c>
      <c r="E141" t="s">
        <v>21</v>
      </c>
      <c r="F141">
        <v>3</v>
      </c>
      <c r="G141">
        <v>3.29</v>
      </c>
      <c r="H141" t="s">
        <v>12</v>
      </c>
      <c r="I141">
        <v>9.8699999999999992</v>
      </c>
    </row>
    <row r="142" spans="1:9" x14ac:dyDescent="0.35">
      <c r="A142">
        <v>1145</v>
      </c>
      <c r="B142" s="1">
        <v>45148</v>
      </c>
      <c r="C142" t="s">
        <v>93</v>
      </c>
      <c r="D142" t="s">
        <v>28</v>
      </c>
      <c r="E142" t="s">
        <v>18</v>
      </c>
      <c r="F142">
        <v>9</v>
      </c>
      <c r="G142">
        <v>5.46</v>
      </c>
      <c r="H142" t="s">
        <v>26</v>
      </c>
      <c r="I142">
        <v>49.14</v>
      </c>
    </row>
    <row r="143" spans="1:9" x14ac:dyDescent="0.35">
      <c r="A143">
        <v>1146</v>
      </c>
      <c r="B143" s="1">
        <v>45157</v>
      </c>
      <c r="C143" t="s">
        <v>48</v>
      </c>
      <c r="D143" t="s">
        <v>17</v>
      </c>
      <c r="E143" t="s">
        <v>21</v>
      </c>
      <c r="F143">
        <v>8</v>
      </c>
      <c r="G143">
        <v>4</v>
      </c>
      <c r="H143" t="s">
        <v>26</v>
      </c>
      <c r="I143">
        <v>32</v>
      </c>
    </row>
    <row r="144" spans="1:9" x14ac:dyDescent="0.35">
      <c r="A144">
        <v>1147</v>
      </c>
      <c r="B144" s="1">
        <v>45163</v>
      </c>
      <c r="C144" t="s">
        <v>46</v>
      </c>
      <c r="D144" t="s">
        <v>20</v>
      </c>
      <c r="E144" t="s">
        <v>18</v>
      </c>
      <c r="F144">
        <v>1</v>
      </c>
      <c r="G144">
        <v>2.99</v>
      </c>
      <c r="H144" t="s">
        <v>12</v>
      </c>
      <c r="I144">
        <v>2.99</v>
      </c>
    </row>
    <row r="145" spans="1:9" x14ac:dyDescent="0.35">
      <c r="A145">
        <v>1148</v>
      </c>
      <c r="B145" s="1">
        <v>45069</v>
      </c>
      <c r="C145" t="s">
        <v>47</v>
      </c>
      <c r="D145" t="s">
        <v>23</v>
      </c>
      <c r="E145" t="s">
        <v>11</v>
      </c>
      <c r="F145">
        <v>6</v>
      </c>
      <c r="G145">
        <v>4.82</v>
      </c>
      <c r="H145" t="s">
        <v>12</v>
      </c>
      <c r="I145">
        <v>28.92</v>
      </c>
    </row>
    <row r="146" spans="1:9" x14ac:dyDescent="0.35">
      <c r="A146">
        <v>1149</v>
      </c>
      <c r="B146" s="1">
        <v>45097</v>
      </c>
      <c r="C146" t="s">
        <v>60</v>
      </c>
      <c r="D146" t="s">
        <v>23</v>
      </c>
      <c r="E146" t="s">
        <v>18</v>
      </c>
      <c r="F146">
        <v>9</v>
      </c>
      <c r="G146">
        <v>3.26</v>
      </c>
      <c r="H146" t="s">
        <v>26</v>
      </c>
      <c r="I146">
        <v>29.34</v>
      </c>
    </row>
    <row r="147" spans="1:9" x14ac:dyDescent="0.35">
      <c r="A147">
        <v>1150</v>
      </c>
      <c r="B147" s="1">
        <v>44955</v>
      </c>
      <c r="C147" t="s">
        <v>85</v>
      </c>
      <c r="D147" t="s">
        <v>20</v>
      </c>
      <c r="E147" t="s">
        <v>18</v>
      </c>
      <c r="F147">
        <v>7</v>
      </c>
      <c r="G147">
        <v>2.84</v>
      </c>
      <c r="H147" t="s">
        <v>12</v>
      </c>
      <c r="I147">
        <v>19.88</v>
      </c>
    </row>
    <row r="148" spans="1:9" x14ac:dyDescent="0.35">
      <c r="A148">
        <v>1151</v>
      </c>
      <c r="B148" s="1">
        <v>44962</v>
      </c>
      <c r="C148" t="s">
        <v>71</v>
      </c>
      <c r="D148" t="s">
        <v>28</v>
      </c>
      <c r="E148" t="s">
        <v>15</v>
      </c>
      <c r="F148">
        <v>4</v>
      </c>
      <c r="G148">
        <v>5.52</v>
      </c>
      <c r="H148" t="s">
        <v>12</v>
      </c>
      <c r="I148">
        <v>22.08</v>
      </c>
    </row>
    <row r="149" spans="1:9" x14ac:dyDescent="0.35">
      <c r="A149">
        <v>1152</v>
      </c>
      <c r="B149" s="1">
        <v>44939</v>
      </c>
      <c r="C149" t="s">
        <v>76</v>
      </c>
      <c r="D149" t="s">
        <v>10</v>
      </c>
      <c r="E149" t="s">
        <v>24</v>
      </c>
      <c r="F149">
        <v>1</v>
      </c>
      <c r="G149">
        <v>4.1100000000000003</v>
      </c>
      <c r="H149" t="s">
        <v>12</v>
      </c>
      <c r="I149">
        <v>4.1100000000000003</v>
      </c>
    </row>
    <row r="150" spans="1:9" x14ac:dyDescent="0.35">
      <c r="A150">
        <v>1153</v>
      </c>
      <c r="B150" s="1">
        <v>45086</v>
      </c>
      <c r="C150" t="s">
        <v>93</v>
      </c>
      <c r="D150" t="s">
        <v>10</v>
      </c>
      <c r="E150" t="s">
        <v>24</v>
      </c>
      <c r="F150">
        <v>2</v>
      </c>
      <c r="G150">
        <v>5.12</v>
      </c>
      <c r="H150" t="s">
        <v>12</v>
      </c>
      <c r="I150">
        <v>10.24</v>
      </c>
    </row>
    <row r="151" spans="1:9" x14ac:dyDescent="0.35">
      <c r="A151">
        <v>1154</v>
      </c>
      <c r="B151" s="1">
        <v>45253</v>
      </c>
      <c r="C151" t="s">
        <v>52</v>
      </c>
      <c r="D151" t="s">
        <v>10</v>
      </c>
      <c r="E151" t="s">
        <v>11</v>
      </c>
      <c r="F151">
        <v>5</v>
      </c>
      <c r="G151">
        <v>3.52</v>
      </c>
      <c r="H151" t="s">
        <v>26</v>
      </c>
      <c r="I151">
        <v>17.600000000000001</v>
      </c>
    </row>
    <row r="152" spans="1:9" x14ac:dyDescent="0.35">
      <c r="A152">
        <v>1155</v>
      </c>
      <c r="B152" s="1">
        <v>45113</v>
      </c>
      <c r="C152" t="s">
        <v>74</v>
      </c>
      <c r="D152" t="s">
        <v>28</v>
      </c>
      <c r="E152" t="s">
        <v>11</v>
      </c>
      <c r="F152">
        <v>5</v>
      </c>
      <c r="G152">
        <v>5.25</v>
      </c>
      <c r="H152" t="s">
        <v>26</v>
      </c>
      <c r="I152">
        <v>26.25</v>
      </c>
    </row>
    <row r="153" spans="1:9" x14ac:dyDescent="0.35">
      <c r="A153">
        <v>1156</v>
      </c>
      <c r="B153" s="1">
        <v>45169</v>
      </c>
      <c r="C153" t="s">
        <v>94</v>
      </c>
      <c r="D153" t="s">
        <v>28</v>
      </c>
      <c r="E153" t="s">
        <v>24</v>
      </c>
      <c r="F153">
        <v>8</v>
      </c>
      <c r="G153">
        <v>2.89</v>
      </c>
      <c r="H153" t="s">
        <v>26</v>
      </c>
      <c r="I153">
        <v>23.12</v>
      </c>
    </row>
    <row r="154" spans="1:9" x14ac:dyDescent="0.35">
      <c r="A154">
        <v>1157</v>
      </c>
      <c r="B154" s="1">
        <v>45012</v>
      </c>
      <c r="C154" t="s">
        <v>83</v>
      </c>
      <c r="D154" t="s">
        <v>20</v>
      </c>
      <c r="E154" t="s">
        <v>15</v>
      </c>
      <c r="F154">
        <v>6</v>
      </c>
      <c r="G154">
        <v>3.75</v>
      </c>
      <c r="H154" t="s">
        <v>12</v>
      </c>
      <c r="I154">
        <v>22.5</v>
      </c>
    </row>
    <row r="155" spans="1:9" x14ac:dyDescent="0.35">
      <c r="A155">
        <v>1158</v>
      </c>
      <c r="B155" s="1">
        <v>45210</v>
      </c>
      <c r="C155" t="s">
        <v>87</v>
      </c>
      <c r="D155" t="s">
        <v>23</v>
      </c>
      <c r="E155" t="s">
        <v>24</v>
      </c>
      <c r="F155">
        <v>8</v>
      </c>
      <c r="G155">
        <v>5.92</v>
      </c>
      <c r="H155" t="s">
        <v>12</v>
      </c>
      <c r="I155">
        <v>47.36</v>
      </c>
    </row>
    <row r="156" spans="1:9" x14ac:dyDescent="0.35">
      <c r="A156">
        <v>1159</v>
      </c>
      <c r="B156" s="1">
        <v>44992</v>
      </c>
      <c r="C156" t="s">
        <v>84</v>
      </c>
      <c r="D156" t="s">
        <v>20</v>
      </c>
      <c r="E156" t="s">
        <v>15</v>
      </c>
      <c r="F156">
        <v>2</v>
      </c>
      <c r="G156">
        <v>5.28</v>
      </c>
      <c r="H156" t="s">
        <v>12</v>
      </c>
      <c r="I156">
        <v>10.56</v>
      </c>
    </row>
    <row r="157" spans="1:9" x14ac:dyDescent="0.35">
      <c r="A157">
        <v>1160</v>
      </c>
      <c r="B157" s="1">
        <v>45096</v>
      </c>
      <c r="C157" t="s">
        <v>88</v>
      </c>
      <c r="D157" t="s">
        <v>20</v>
      </c>
      <c r="E157" t="s">
        <v>11</v>
      </c>
      <c r="F157">
        <v>3</v>
      </c>
      <c r="G157">
        <v>4.24</v>
      </c>
      <c r="H157" t="s">
        <v>12</v>
      </c>
      <c r="I157">
        <v>12.72</v>
      </c>
    </row>
    <row r="158" spans="1:9" x14ac:dyDescent="0.35">
      <c r="A158">
        <v>1161</v>
      </c>
      <c r="B158" s="1">
        <v>44971</v>
      </c>
      <c r="C158" t="s">
        <v>67</v>
      </c>
      <c r="D158" t="s">
        <v>28</v>
      </c>
      <c r="E158" t="s">
        <v>21</v>
      </c>
      <c r="F158">
        <v>6</v>
      </c>
      <c r="G158">
        <v>3.69</v>
      </c>
      <c r="H158" t="s">
        <v>12</v>
      </c>
      <c r="I158">
        <v>22.14</v>
      </c>
    </row>
    <row r="159" spans="1:9" x14ac:dyDescent="0.35">
      <c r="A159">
        <v>1162</v>
      </c>
      <c r="B159" s="1">
        <v>44988</v>
      </c>
      <c r="C159" t="s">
        <v>71</v>
      </c>
      <c r="D159" t="s">
        <v>95</v>
      </c>
      <c r="E159" t="s">
        <v>11</v>
      </c>
      <c r="F159">
        <v>3</v>
      </c>
      <c r="G159">
        <v>5.55</v>
      </c>
      <c r="H159" t="s">
        <v>12</v>
      </c>
      <c r="I159">
        <v>16.649999999999999</v>
      </c>
    </row>
    <row r="160" spans="1:9" x14ac:dyDescent="0.35">
      <c r="A160">
        <v>1163</v>
      </c>
      <c r="B160" s="1">
        <v>45060</v>
      </c>
      <c r="C160" t="s">
        <v>46</v>
      </c>
      <c r="D160" t="s">
        <v>14</v>
      </c>
      <c r="E160" t="s">
        <v>11</v>
      </c>
      <c r="F160">
        <v>6</v>
      </c>
      <c r="G160">
        <v>4.41</v>
      </c>
      <c r="H160" t="s">
        <v>12</v>
      </c>
      <c r="I160">
        <v>26.46</v>
      </c>
    </row>
    <row r="161" spans="1:9" x14ac:dyDescent="0.35">
      <c r="A161">
        <v>1164</v>
      </c>
      <c r="B161" s="1">
        <v>45210</v>
      </c>
      <c r="C161" t="s">
        <v>19</v>
      </c>
      <c r="D161" t="s">
        <v>23</v>
      </c>
      <c r="E161" t="s">
        <v>18</v>
      </c>
      <c r="F161">
        <v>6</v>
      </c>
      <c r="G161">
        <v>5.15</v>
      </c>
      <c r="H161" t="s">
        <v>26</v>
      </c>
      <c r="I161">
        <v>30.9</v>
      </c>
    </row>
    <row r="162" spans="1:9" x14ac:dyDescent="0.35">
      <c r="A162">
        <v>1165</v>
      </c>
      <c r="B162" s="1">
        <v>44954</v>
      </c>
      <c r="C162" t="s">
        <v>35</v>
      </c>
      <c r="D162" t="s">
        <v>28</v>
      </c>
      <c r="E162" t="s">
        <v>18</v>
      </c>
      <c r="F162">
        <v>2</v>
      </c>
      <c r="G162">
        <v>5.14</v>
      </c>
      <c r="H162" t="s">
        <v>26</v>
      </c>
      <c r="I162">
        <v>10.28</v>
      </c>
    </row>
    <row r="163" spans="1:9" x14ac:dyDescent="0.35">
      <c r="A163">
        <v>1167</v>
      </c>
      <c r="B163" s="1">
        <v>44970</v>
      </c>
      <c r="C163" t="s">
        <v>86</v>
      </c>
      <c r="D163" t="s">
        <v>14</v>
      </c>
      <c r="E163" t="s">
        <v>18</v>
      </c>
      <c r="F163">
        <v>2</v>
      </c>
      <c r="G163">
        <v>2.94</v>
      </c>
      <c r="H163" t="s">
        <v>12</v>
      </c>
      <c r="I163">
        <v>5.88</v>
      </c>
    </row>
    <row r="164" spans="1:9" x14ac:dyDescent="0.35">
      <c r="A164">
        <v>1168</v>
      </c>
      <c r="B164" s="1">
        <v>45266</v>
      </c>
      <c r="C164" t="s">
        <v>61</v>
      </c>
      <c r="D164" t="s">
        <v>14</v>
      </c>
      <c r="E164" t="s">
        <v>15</v>
      </c>
      <c r="F164">
        <v>6</v>
      </c>
      <c r="G164">
        <v>4.8099999999999996</v>
      </c>
      <c r="H164" t="s">
        <v>12</v>
      </c>
      <c r="I164">
        <v>28.86</v>
      </c>
    </row>
    <row r="165" spans="1:9" x14ac:dyDescent="0.35">
      <c r="A165">
        <v>1169</v>
      </c>
      <c r="B165" s="1">
        <v>45212</v>
      </c>
      <c r="C165" t="s">
        <v>16</v>
      </c>
      <c r="D165" t="s">
        <v>28</v>
      </c>
      <c r="E165" t="s">
        <v>24</v>
      </c>
      <c r="F165">
        <v>1</v>
      </c>
      <c r="G165">
        <v>3.07</v>
      </c>
      <c r="H165" t="s">
        <v>26</v>
      </c>
      <c r="I165">
        <v>3.07</v>
      </c>
    </row>
    <row r="166" spans="1:9" x14ac:dyDescent="0.35">
      <c r="A166">
        <v>1170</v>
      </c>
      <c r="B166" s="1">
        <v>45257</v>
      </c>
      <c r="C166" t="s">
        <v>64</v>
      </c>
      <c r="D166" t="s">
        <v>17</v>
      </c>
      <c r="E166" t="s">
        <v>21</v>
      </c>
      <c r="F166">
        <v>3</v>
      </c>
      <c r="G166">
        <v>3.39</v>
      </c>
      <c r="H166" t="s">
        <v>26</v>
      </c>
      <c r="I166">
        <v>10.17</v>
      </c>
    </row>
    <row r="167" spans="1:9" x14ac:dyDescent="0.35">
      <c r="A167">
        <v>1171</v>
      </c>
      <c r="B167" s="1">
        <v>45054</v>
      </c>
      <c r="C167" t="s">
        <v>40</v>
      </c>
      <c r="D167" t="s">
        <v>23</v>
      </c>
      <c r="E167" t="s">
        <v>11</v>
      </c>
      <c r="F167">
        <v>2</v>
      </c>
      <c r="G167">
        <v>5.81</v>
      </c>
      <c r="H167" t="s">
        <v>12</v>
      </c>
      <c r="I167">
        <v>11.62</v>
      </c>
    </row>
    <row r="168" spans="1:9" x14ac:dyDescent="0.35">
      <c r="A168">
        <v>1172</v>
      </c>
      <c r="B168" s="1">
        <v>45274</v>
      </c>
      <c r="C168" t="s">
        <v>47</v>
      </c>
      <c r="D168" t="s">
        <v>14</v>
      </c>
      <c r="E168" t="s">
        <v>15</v>
      </c>
      <c r="F168">
        <v>7</v>
      </c>
      <c r="G168">
        <v>4.46</v>
      </c>
      <c r="H168" t="s">
        <v>12</v>
      </c>
      <c r="I168">
        <v>31.22</v>
      </c>
    </row>
    <row r="169" spans="1:9" x14ac:dyDescent="0.35">
      <c r="A169">
        <v>1173</v>
      </c>
      <c r="B169" s="1">
        <v>45157</v>
      </c>
      <c r="C169" t="s">
        <v>40</v>
      </c>
      <c r="D169" t="s">
        <v>95</v>
      </c>
      <c r="E169" t="s">
        <v>21</v>
      </c>
      <c r="F169">
        <v>4</v>
      </c>
      <c r="G169">
        <v>5.13</v>
      </c>
      <c r="H169" t="s">
        <v>26</v>
      </c>
      <c r="I169">
        <v>20.52</v>
      </c>
    </row>
    <row r="170" spans="1:9" x14ac:dyDescent="0.35">
      <c r="A170">
        <v>1174</v>
      </c>
      <c r="B170" s="1">
        <v>45116</v>
      </c>
      <c r="C170" t="s">
        <v>45</v>
      </c>
      <c r="D170" t="s">
        <v>28</v>
      </c>
      <c r="E170" t="s">
        <v>15</v>
      </c>
      <c r="F170">
        <v>8</v>
      </c>
      <c r="G170">
        <v>4.45</v>
      </c>
      <c r="H170" t="s">
        <v>26</v>
      </c>
      <c r="I170">
        <v>35.6</v>
      </c>
    </row>
    <row r="171" spans="1:9" x14ac:dyDescent="0.35">
      <c r="A171">
        <v>1175</v>
      </c>
      <c r="B171" s="1">
        <v>45151</v>
      </c>
      <c r="C171" t="s">
        <v>96</v>
      </c>
      <c r="D171" t="s">
        <v>10</v>
      </c>
      <c r="E171" t="s">
        <v>15</v>
      </c>
      <c r="F171">
        <v>6</v>
      </c>
      <c r="G171">
        <v>4.43</v>
      </c>
      <c r="H171" t="s">
        <v>26</v>
      </c>
      <c r="I171">
        <v>26.58</v>
      </c>
    </row>
    <row r="172" spans="1:9" x14ac:dyDescent="0.35">
      <c r="A172">
        <v>1176</v>
      </c>
      <c r="B172" s="1">
        <v>45209</v>
      </c>
      <c r="C172" t="s">
        <v>22</v>
      </c>
      <c r="D172" t="s">
        <v>17</v>
      </c>
      <c r="E172" t="s">
        <v>11</v>
      </c>
      <c r="F172">
        <v>4</v>
      </c>
      <c r="G172">
        <v>2.83</v>
      </c>
      <c r="H172" t="s">
        <v>26</v>
      </c>
      <c r="I172">
        <v>11.32</v>
      </c>
    </row>
    <row r="173" spans="1:9" x14ac:dyDescent="0.35">
      <c r="A173">
        <v>1177</v>
      </c>
      <c r="B173" s="1">
        <v>45047</v>
      </c>
      <c r="C173" t="s">
        <v>64</v>
      </c>
      <c r="D173" t="s">
        <v>23</v>
      </c>
      <c r="E173" t="s">
        <v>24</v>
      </c>
      <c r="F173">
        <v>5</v>
      </c>
      <c r="G173">
        <v>3.7</v>
      </c>
      <c r="H173" t="s">
        <v>12</v>
      </c>
      <c r="I173">
        <v>18.5</v>
      </c>
    </row>
    <row r="174" spans="1:9" x14ac:dyDescent="0.35">
      <c r="A174">
        <v>1178</v>
      </c>
      <c r="B174" s="1">
        <v>45042</v>
      </c>
      <c r="C174" t="s">
        <v>97</v>
      </c>
      <c r="D174" t="s">
        <v>20</v>
      </c>
      <c r="E174" t="s">
        <v>18</v>
      </c>
      <c r="F174">
        <v>9</v>
      </c>
      <c r="G174">
        <v>3.49</v>
      </c>
      <c r="H174" t="s">
        <v>26</v>
      </c>
      <c r="I174">
        <v>31.41</v>
      </c>
    </row>
    <row r="175" spans="1:9" x14ac:dyDescent="0.35">
      <c r="A175">
        <v>1179</v>
      </c>
      <c r="B175" s="1">
        <v>45159</v>
      </c>
      <c r="C175" t="s">
        <v>51</v>
      </c>
      <c r="D175" t="s">
        <v>10</v>
      </c>
      <c r="E175" t="s">
        <v>24</v>
      </c>
      <c r="F175">
        <v>7</v>
      </c>
      <c r="G175">
        <v>3.87</v>
      </c>
      <c r="H175" t="s">
        <v>26</v>
      </c>
      <c r="I175">
        <v>27.09</v>
      </c>
    </row>
    <row r="176" spans="1:9" x14ac:dyDescent="0.35">
      <c r="A176">
        <v>1180</v>
      </c>
      <c r="B176" s="1">
        <v>45185</v>
      </c>
      <c r="C176" t="s">
        <v>77</v>
      </c>
      <c r="D176" t="s">
        <v>14</v>
      </c>
      <c r="E176" t="s">
        <v>11</v>
      </c>
      <c r="F176">
        <v>9</v>
      </c>
      <c r="G176">
        <v>5.29</v>
      </c>
      <c r="H176" t="s">
        <v>12</v>
      </c>
      <c r="I176">
        <v>47.61</v>
      </c>
    </row>
    <row r="177" spans="1:9" x14ac:dyDescent="0.35">
      <c r="A177">
        <v>1181</v>
      </c>
      <c r="B177" s="1">
        <v>45285</v>
      </c>
      <c r="C177" t="s">
        <v>90</v>
      </c>
      <c r="D177" t="s">
        <v>14</v>
      </c>
      <c r="E177" t="s">
        <v>11</v>
      </c>
      <c r="F177">
        <v>7</v>
      </c>
      <c r="G177">
        <v>3.8</v>
      </c>
      <c r="H177" t="s">
        <v>26</v>
      </c>
      <c r="I177">
        <v>26.6</v>
      </c>
    </row>
    <row r="178" spans="1:9" x14ac:dyDescent="0.35">
      <c r="A178">
        <v>1182</v>
      </c>
      <c r="B178" s="1">
        <v>45124</v>
      </c>
      <c r="C178" t="s">
        <v>58</v>
      </c>
      <c r="D178" t="s">
        <v>10</v>
      </c>
      <c r="E178" t="s">
        <v>11</v>
      </c>
      <c r="F178">
        <v>1</v>
      </c>
      <c r="G178">
        <v>4.08</v>
      </c>
      <c r="H178" t="s">
        <v>26</v>
      </c>
      <c r="I178">
        <v>4.08</v>
      </c>
    </row>
    <row r="179" spans="1:9" x14ac:dyDescent="0.35">
      <c r="A179">
        <v>1183</v>
      </c>
      <c r="B179" s="1">
        <v>45063</v>
      </c>
      <c r="C179" t="s">
        <v>50</v>
      </c>
      <c r="D179" t="s">
        <v>28</v>
      </c>
      <c r="E179" t="s">
        <v>21</v>
      </c>
      <c r="F179">
        <v>8</v>
      </c>
      <c r="G179">
        <v>3.89</v>
      </c>
      <c r="H179" t="s">
        <v>26</v>
      </c>
      <c r="I179">
        <v>31.12</v>
      </c>
    </row>
    <row r="180" spans="1:9" x14ac:dyDescent="0.35">
      <c r="A180">
        <v>1184</v>
      </c>
      <c r="B180" s="1">
        <v>45244</v>
      </c>
      <c r="C180" t="s">
        <v>27</v>
      </c>
      <c r="D180" t="s">
        <v>14</v>
      </c>
      <c r="E180" t="s">
        <v>24</v>
      </c>
      <c r="F180">
        <v>4</v>
      </c>
      <c r="G180">
        <v>2.83</v>
      </c>
      <c r="H180" t="s">
        <v>12</v>
      </c>
      <c r="I180">
        <v>11.32</v>
      </c>
    </row>
    <row r="181" spans="1:9" x14ac:dyDescent="0.35">
      <c r="A181">
        <v>1185</v>
      </c>
      <c r="B181" s="1">
        <v>45091</v>
      </c>
      <c r="C181" t="s">
        <v>89</v>
      </c>
      <c r="D181" t="s">
        <v>17</v>
      </c>
      <c r="E181" t="s">
        <v>24</v>
      </c>
      <c r="F181">
        <v>3</v>
      </c>
      <c r="G181">
        <v>4.04</v>
      </c>
      <c r="H181" t="s">
        <v>26</v>
      </c>
      <c r="I181">
        <v>12.12</v>
      </c>
    </row>
    <row r="182" spans="1:9" x14ac:dyDescent="0.35">
      <c r="A182">
        <v>1186</v>
      </c>
      <c r="B182" s="1">
        <v>45151</v>
      </c>
      <c r="C182" t="s">
        <v>37</v>
      </c>
      <c r="D182" t="s">
        <v>23</v>
      </c>
      <c r="E182" t="s">
        <v>15</v>
      </c>
      <c r="F182">
        <v>7</v>
      </c>
      <c r="G182">
        <v>3.18</v>
      </c>
      <c r="H182" t="s">
        <v>12</v>
      </c>
      <c r="I182">
        <v>22.26</v>
      </c>
    </row>
    <row r="183" spans="1:9" x14ac:dyDescent="0.35">
      <c r="A183">
        <v>1187</v>
      </c>
      <c r="B183" s="1">
        <v>45233</v>
      </c>
      <c r="C183" t="s">
        <v>38</v>
      </c>
      <c r="D183" t="s">
        <v>17</v>
      </c>
      <c r="E183" t="s">
        <v>15</v>
      </c>
      <c r="F183">
        <v>3</v>
      </c>
      <c r="G183">
        <v>3.15</v>
      </c>
      <c r="H183" t="s">
        <v>12</v>
      </c>
      <c r="I183">
        <v>9.4499999999999993</v>
      </c>
    </row>
    <row r="184" spans="1:9" x14ac:dyDescent="0.35">
      <c r="A184">
        <v>1188</v>
      </c>
      <c r="B184" s="1">
        <v>45160</v>
      </c>
      <c r="C184" t="s">
        <v>39</v>
      </c>
      <c r="D184" t="s">
        <v>14</v>
      </c>
      <c r="E184" t="s">
        <v>15</v>
      </c>
      <c r="F184">
        <v>8</v>
      </c>
      <c r="G184">
        <v>2.83</v>
      </c>
      <c r="H184" t="s">
        <v>26</v>
      </c>
      <c r="I184">
        <v>22.64</v>
      </c>
    </row>
    <row r="185" spans="1:9" x14ac:dyDescent="0.35">
      <c r="A185">
        <v>1189</v>
      </c>
      <c r="B185" s="1">
        <v>45098</v>
      </c>
      <c r="C185" t="s">
        <v>25</v>
      </c>
      <c r="D185" t="s">
        <v>20</v>
      </c>
      <c r="E185" t="s">
        <v>11</v>
      </c>
      <c r="F185">
        <v>6</v>
      </c>
      <c r="G185">
        <v>3.75</v>
      </c>
      <c r="H185" t="s">
        <v>26</v>
      </c>
      <c r="I185">
        <v>22.5</v>
      </c>
    </row>
    <row r="186" spans="1:9" x14ac:dyDescent="0.35">
      <c r="A186">
        <v>1190</v>
      </c>
      <c r="B186" s="1">
        <v>45078</v>
      </c>
      <c r="C186" t="s">
        <v>92</v>
      </c>
      <c r="D186" t="s">
        <v>23</v>
      </c>
      <c r="E186" t="s">
        <v>24</v>
      </c>
      <c r="F186">
        <v>5</v>
      </c>
      <c r="G186">
        <v>5.15</v>
      </c>
      <c r="H186" t="s">
        <v>26</v>
      </c>
      <c r="I186">
        <v>25.75</v>
      </c>
    </row>
    <row r="187" spans="1:9" x14ac:dyDescent="0.35">
      <c r="A187">
        <v>1191</v>
      </c>
      <c r="B187" s="1">
        <v>45241</v>
      </c>
      <c r="C187" t="s">
        <v>68</v>
      </c>
      <c r="D187" t="s">
        <v>23</v>
      </c>
      <c r="E187" t="s">
        <v>11</v>
      </c>
      <c r="F187">
        <v>4</v>
      </c>
      <c r="G187">
        <v>3.47</v>
      </c>
      <c r="H187" t="s">
        <v>26</v>
      </c>
      <c r="I187">
        <v>13.88</v>
      </c>
    </row>
    <row r="188" spans="1:9" x14ac:dyDescent="0.35">
      <c r="A188">
        <v>1192</v>
      </c>
      <c r="B188" s="1">
        <v>45086</v>
      </c>
      <c r="C188" t="s">
        <v>93</v>
      </c>
      <c r="D188" t="s">
        <v>10</v>
      </c>
      <c r="E188" t="s">
        <v>21</v>
      </c>
      <c r="F188">
        <v>8</v>
      </c>
      <c r="G188">
        <v>3.59</v>
      </c>
      <c r="H188" t="s">
        <v>12</v>
      </c>
      <c r="I188">
        <v>28.72</v>
      </c>
    </row>
    <row r="189" spans="1:9" x14ac:dyDescent="0.35">
      <c r="A189">
        <v>1193</v>
      </c>
      <c r="B189" s="1">
        <v>45022</v>
      </c>
      <c r="C189" t="s">
        <v>69</v>
      </c>
      <c r="D189" t="s">
        <v>10</v>
      </c>
      <c r="E189" t="s">
        <v>15</v>
      </c>
      <c r="F189">
        <v>8</v>
      </c>
      <c r="G189">
        <v>4.75</v>
      </c>
      <c r="H189" t="s">
        <v>26</v>
      </c>
      <c r="I189">
        <v>38</v>
      </c>
    </row>
    <row r="190" spans="1:9" x14ac:dyDescent="0.35">
      <c r="A190">
        <v>1194</v>
      </c>
      <c r="B190" s="1">
        <v>45159</v>
      </c>
      <c r="C190" t="s">
        <v>78</v>
      </c>
      <c r="D190" t="s">
        <v>20</v>
      </c>
      <c r="E190" t="s">
        <v>11</v>
      </c>
      <c r="F190">
        <v>1</v>
      </c>
      <c r="G190">
        <v>3.19</v>
      </c>
      <c r="H190" t="s">
        <v>26</v>
      </c>
      <c r="I190">
        <v>3.19</v>
      </c>
    </row>
    <row r="191" spans="1:9" x14ac:dyDescent="0.35">
      <c r="A191">
        <v>1195</v>
      </c>
      <c r="B191" s="1">
        <v>45106</v>
      </c>
      <c r="C191" t="s">
        <v>49</v>
      </c>
      <c r="D191" t="s">
        <v>28</v>
      </c>
      <c r="E191" t="s">
        <v>11</v>
      </c>
      <c r="F191">
        <v>9</v>
      </c>
      <c r="G191">
        <v>5.64</v>
      </c>
      <c r="H191" t="s">
        <v>26</v>
      </c>
      <c r="I191">
        <v>50.76</v>
      </c>
    </row>
    <row r="192" spans="1:9" x14ac:dyDescent="0.35">
      <c r="A192">
        <v>1196</v>
      </c>
      <c r="B192" s="1">
        <v>45039</v>
      </c>
      <c r="C192" t="s">
        <v>91</v>
      </c>
      <c r="D192" t="s">
        <v>23</v>
      </c>
      <c r="E192" t="s">
        <v>21</v>
      </c>
      <c r="F192">
        <v>5</v>
      </c>
      <c r="G192">
        <v>4.32</v>
      </c>
      <c r="H192" t="s">
        <v>12</v>
      </c>
      <c r="I192">
        <v>21.6</v>
      </c>
    </row>
    <row r="193" spans="1:9" x14ac:dyDescent="0.35">
      <c r="A193">
        <v>1197</v>
      </c>
      <c r="B193" s="1">
        <v>45244</v>
      </c>
      <c r="C193" t="s">
        <v>57</v>
      </c>
      <c r="D193" t="s">
        <v>20</v>
      </c>
      <c r="E193" t="s">
        <v>18</v>
      </c>
      <c r="F193">
        <v>4</v>
      </c>
      <c r="G193">
        <v>4.07</v>
      </c>
      <c r="H193" t="s">
        <v>26</v>
      </c>
      <c r="I193">
        <v>16.28</v>
      </c>
    </row>
    <row r="194" spans="1:9" x14ac:dyDescent="0.35">
      <c r="A194">
        <v>1198</v>
      </c>
      <c r="B194" s="1">
        <v>44978</v>
      </c>
      <c r="C194" t="s">
        <v>75</v>
      </c>
      <c r="D194" t="s">
        <v>10</v>
      </c>
      <c r="E194" t="s">
        <v>24</v>
      </c>
      <c r="F194">
        <v>6</v>
      </c>
      <c r="G194">
        <v>4.45</v>
      </c>
      <c r="H194" t="s">
        <v>26</v>
      </c>
      <c r="I194">
        <v>26.7</v>
      </c>
    </row>
    <row r="195" spans="1:9" x14ac:dyDescent="0.35">
      <c r="A195">
        <v>1199</v>
      </c>
      <c r="B195" s="1">
        <v>45194</v>
      </c>
      <c r="C195" t="s">
        <v>27</v>
      </c>
      <c r="D195" t="s">
        <v>10</v>
      </c>
      <c r="E195" t="s">
        <v>18</v>
      </c>
      <c r="F195">
        <v>6</v>
      </c>
      <c r="G195">
        <v>3.08</v>
      </c>
      <c r="H195" t="s">
        <v>12</v>
      </c>
      <c r="I195">
        <v>18.48</v>
      </c>
    </row>
    <row r="196" spans="1:9" x14ac:dyDescent="0.35">
      <c r="A196">
        <v>1200</v>
      </c>
      <c r="B196" s="1">
        <v>45221</v>
      </c>
      <c r="C196" t="s">
        <v>33</v>
      </c>
      <c r="D196" t="s">
        <v>23</v>
      </c>
      <c r="E196" t="s">
        <v>15</v>
      </c>
      <c r="F196">
        <v>2</v>
      </c>
      <c r="G196">
        <v>4.6500000000000004</v>
      </c>
      <c r="H196" t="s">
        <v>12</v>
      </c>
      <c r="I196">
        <v>9.3000000000000007</v>
      </c>
    </row>
    <row r="197" spans="1:9" x14ac:dyDescent="0.35">
      <c r="A197">
        <v>1201</v>
      </c>
      <c r="B197" s="1">
        <v>45039</v>
      </c>
      <c r="C197" t="s">
        <v>76</v>
      </c>
      <c r="D197" t="s">
        <v>17</v>
      </c>
      <c r="E197" t="s">
        <v>11</v>
      </c>
      <c r="F197">
        <v>8</v>
      </c>
      <c r="G197">
        <v>3.77</v>
      </c>
      <c r="H197" t="s">
        <v>26</v>
      </c>
      <c r="I197">
        <v>30.16</v>
      </c>
    </row>
    <row r="198" spans="1:9" x14ac:dyDescent="0.35">
      <c r="A198">
        <v>1202</v>
      </c>
      <c r="B198" s="1">
        <v>45027</v>
      </c>
      <c r="C198" t="s">
        <v>52</v>
      </c>
      <c r="D198" t="s">
        <v>14</v>
      </c>
      <c r="E198" t="s">
        <v>21</v>
      </c>
      <c r="F198">
        <v>7</v>
      </c>
      <c r="G198">
        <v>5.64</v>
      </c>
      <c r="H198" t="s">
        <v>26</v>
      </c>
      <c r="I198">
        <v>39.479999999999997</v>
      </c>
    </row>
    <row r="199" spans="1:9" x14ac:dyDescent="0.35">
      <c r="A199">
        <v>1203</v>
      </c>
      <c r="B199" s="1">
        <v>45039</v>
      </c>
      <c r="C199" t="s">
        <v>98</v>
      </c>
      <c r="D199" t="s">
        <v>10</v>
      </c>
      <c r="E199" t="s">
        <v>21</v>
      </c>
      <c r="F199">
        <v>1</v>
      </c>
      <c r="G199">
        <v>3.09</v>
      </c>
      <c r="H199" t="s">
        <v>26</v>
      </c>
      <c r="I199">
        <v>3.09</v>
      </c>
    </row>
    <row r="200" spans="1:9" x14ac:dyDescent="0.35">
      <c r="A200">
        <v>1204</v>
      </c>
      <c r="B200" s="1">
        <v>45007</v>
      </c>
      <c r="C200" t="s">
        <v>41</v>
      </c>
      <c r="D200" t="s">
        <v>28</v>
      </c>
      <c r="E200" t="s">
        <v>24</v>
      </c>
      <c r="F200">
        <v>5</v>
      </c>
      <c r="G200">
        <v>4.2699999999999996</v>
      </c>
      <c r="H200" t="s">
        <v>26</v>
      </c>
      <c r="I200">
        <v>21.35</v>
      </c>
    </row>
    <row r="201" spans="1:9" x14ac:dyDescent="0.35">
      <c r="A201">
        <v>1205</v>
      </c>
      <c r="B201" s="1">
        <v>45113</v>
      </c>
      <c r="C201" t="s">
        <v>90</v>
      </c>
      <c r="D201" t="s">
        <v>28</v>
      </c>
      <c r="E201" t="s">
        <v>18</v>
      </c>
      <c r="F201">
        <v>6</v>
      </c>
      <c r="G201">
        <v>4.59</v>
      </c>
      <c r="H201" t="s">
        <v>26</v>
      </c>
      <c r="I201">
        <v>27.54</v>
      </c>
    </row>
    <row r="202" spans="1:9" x14ac:dyDescent="0.35">
      <c r="A202">
        <v>1206</v>
      </c>
      <c r="B202" s="1">
        <v>45039</v>
      </c>
      <c r="C202" t="s">
        <v>59</v>
      </c>
      <c r="D202" t="s">
        <v>10</v>
      </c>
      <c r="E202" t="s">
        <v>24</v>
      </c>
      <c r="F202">
        <v>4</v>
      </c>
      <c r="G202">
        <v>2.62</v>
      </c>
      <c r="H202" t="s">
        <v>12</v>
      </c>
      <c r="I202">
        <v>10.48</v>
      </c>
    </row>
    <row r="203" spans="1:9" x14ac:dyDescent="0.35">
      <c r="A203">
        <v>1207</v>
      </c>
      <c r="B203" s="1">
        <v>44928</v>
      </c>
      <c r="C203" t="s">
        <v>77</v>
      </c>
      <c r="D203" t="s">
        <v>17</v>
      </c>
      <c r="E203" t="s">
        <v>11</v>
      </c>
      <c r="F203">
        <v>2</v>
      </c>
      <c r="G203">
        <v>3.77</v>
      </c>
      <c r="H203" t="s">
        <v>12</v>
      </c>
      <c r="I203">
        <v>7.54</v>
      </c>
    </row>
    <row r="204" spans="1:9" x14ac:dyDescent="0.35">
      <c r="A204">
        <v>1208</v>
      </c>
      <c r="B204" s="1">
        <v>45056</v>
      </c>
      <c r="C204" t="s">
        <v>52</v>
      </c>
      <c r="D204" t="s">
        <v>17</v>
      </c>
      <c r="E204" t="s">
        <v>24</v>
      </c>
      <c r="F204">
        <v>4</v>
      </c>
      <c r="G204">
        <v>5.0599999999999996</v>
      </c>
      <c r="H204" t="s">
        <v>26</v>
      </c>
      <c r="I204">
        <v>20.239999999999998</v>
      </c>
    </row>
    <row r="205" spans="1:9" x14ac:dyDescent="0.35">
      <c r="A205">
        <v>1209</v>
      </c>
      <c r="B205" s="1">
        <v>45146</v>
      </c>
      <c r="C205" t="s">
        <v>89</v>
      </c>
      <c r="D205" t="s">
        <v>20</v>
      </c>
      <c r="E205" t="s">
        <v>21</v>
      </c>
      <c r="F205">
        <v>1</v>
      </c>
      <c r="G205">
        <v>5.37</v>
      </c>
      <c r="H205" t="s">
        <v>26</v>
      </c>
      <c r="I205">
        <v>5.37</v>
      </c>
    </row>
    <row r="206" spans="1:9" x14ac:dyDescent="0.35">
      <c r="A206">
        <v>1210</v>
      </c>
      <c r="B206" s="1">
        <v>44980</v>
      </c>
      <c r="C206" t="s">
        <v>27</v>
      </c>
      <c r="D206" t="s">
        <v>28</v>
      </c>
      <c r="E206" t="s">
        <v>21</v>
      </c>
      <c r="F206">
        <v>7</v>
      </c>
      <c r="G206">
        <v>3.6</v>
      </c>
      <c r="H206" t="s">
        <v>12</v>
      </c>
      <c r="I206">
        <v>25.2</v>
      </c>
    </row>
    <row r="207" spans="1:9" x14ac:dyDescent="0.35">
      <c r="A207">
        <v>1211</v>
      </c>
      <c r="B207" s="1">
        <v>45269</v>
      </c>
      <c r="C207" t="s">
        <v>87</v>
      </c>
      <c r="D207" t="s">
        <v>20</v>
      </c>
      <c r="E207" t="s">
        <v>15</v>
      </c>
      <c r="F207">
        <v>2</v>
      </c>
      <c r="G207">
        <v>5.3</v>
      </c>
      <c r="H207" t="s">
        <v>26</v>
      </c>
      <c r="I207">
        <v>10.6</v>
      </c>
    </row>
    <row r="208" spans="1:9" x14ac:dyDescent="0.35">
      <c r="A208">
        <v>1212</v>
      </c>
      <c r="B208" s="1">
        <v>45150</v>
      </c>
      <c r="C208" t="s">
        <v>48</v>
      </c>
      <c r="D208" t="s">
        <v>28</v>
      </c>
      <c r="E208" t="s">
        <v>15</v>
      </c>
      <c r="F208">
        <v>2</v>
      </c>
      <c r="G208">
        <v>5.89</v>
      </c>
      <c r="H208" t="s">
        <v>26</v>
      </c>
      <c r="I208">
        <v>11.78</v>
      </c>
    </row>
    <row r="209" spans="1:9" x14ac:dyDescent="0.35">
      <c r="A209">
        <v>1213</v>
      </c>
      <c r="B209" s="1">
        <v>45151</v>
      </c>
      <c r="C209" t="s">
        <v>56</v>
      </c>
      <c r="D209" t="s">
        <v>14</v>
      </c>
      <c r="E209" t="s">
        <v>11</v>
      </c>
      <c r="F209">
        <v>9</v>
      </c>
      <c r="G209">
        <v>5.5</v>
      </c>
      <c r="H209" t="s">
        <v>26</v>
      </c>
      <c r="I209">
        <v>49.5</v>
      </c>
    </row>
    <row r="210" spans="1:9" x14ac:dyDescent="0.35">
      <c r="A210">
        <v>1214</v>
      </c>
      <c r="B210" s="1">
        <v>45052</v>
      </c>
      <c r="C210" t="s">
        <v>92</v>
      </c>
      <c r="D210" t="s">
        <v>14</v>
      </c>
      <c r="E210" t="s">
        <v>18</v>
      </c>
      <c r="F210">
        <v>5</v>
      </c>
      <c r="G210">
        <v>2.91</v>
      </c>
      <c r="H210" t="s">
        <v>26</v>
      </c>
      <c r="I210">
        <v>14.55</v>
      </c>
    </row>
    <row r="211" spans="1:9" x14ac:dyDescent="0.35">
      <c r="A211">
        <v>1215</v>
      </c>
      <c r="B211" s="1">
        <v>45056</v>
      </c>
      <c r="C211" t="s">
        <v>68</v>
      </c>
      <c r="D211" t="s">
        <v>23</v>
      </c>
      <c r="E211" t="s">
        <v>24</v>
      </c>
      <c r="F211">
        <v>2</v>
      </c>
      <c r="G211">
        <v>5.09</v>
      </c>
      <c r="H211" t="s">
        <v>26</v>
      </c>
      <c r="I211">
        <v>10.18</v>
      </c>
    </row>
    <row r="212" spans="1:9" x14ac:dyDescent="0.35">
      <c r="A212">
        <v>1216</v>
      </c>
      <c r="B212" s="1">
        <v>44979</v>
      </c>
      <c r="C212" t="s">
        <v>75</v>
      </c>
      <c r="D212" t="s">
        <v>95</v>
      </c>
      <c r="E212" t="s">
        <v>11</v>
      </c>
      <c r="F212">
        <v>9</v>
      </c>
      <c r="G212">
        <v>3.62</v>
      </c>
      <c r="H212" t="s">
        <v>12</v>
      </c>
      <c r="I212">
        <v>32.58</v>
      </c>
    </row>
    <row r="213" spans="1:9" x14ac:dyDescent="0.35">
      <c r="A213">
        <v>1217</v>
      </c>
      <c r="B213" s="1">
        <v>45098</v>
      </c>
      <c r="C213" t="s">
        <v>88</v>
      </c>
      <c r="D213" t="s">
        <v>10</v>
      </c>
      <c r="E213" t="s">
        <v>15</v>
      </c>
      <c r="F213">
        <v>9</v>
      </c>
      <c r="G213">
        <v>5.96</v>
      </c>
      <c r="H213" t="s">
        <v>26</v>
      </c>
      <c r="I213">
        <v>53.64</v>
      </c>
    </row>
    <row r="214" spans="1:9" x14ac:dyDescent="0.35">
      <c r="A214">
        <v>1218</v>
      </c>
      <c r="B214" s="1">
        <v>45144</v>
      </c>
      <c r="C214" t="s">
        <v>70</v>
      </c>
      <c r="D214" t="s">
        <v>20</v>
      </c>
      <c r="E214" t="s">
        <v>24</v>
      </c>
      <c r="F214">
        <v>1</v>
      </c>
      <c r="G214">
        <v>4.2</v>
      </c>
      <c r="H214" t="s">
        <v>26</v>
      </c>
      <c r="I214">
        <v>4.2</v>
      </c>
    </row>
    <row r="215" spans="1:9" x14ac:dyDescent="0.35">
      <c r="A215">
        <v>1219</v>
      </c>
      <c r="B215" s="1">
        <v>45086</v>
      </c>
      <c r="C215" t="s">
        <v>53</v>
      </c>
      <c r="D215" t="s">
        <v>10</v>
      </c>
      <c r="E215" t="s">
        <v>15</v>
      </c>
      <c r="F215">
        <v>3</v>
      </c>
      <c r="G215">
        <v>2.93</v>
      </c>
      <c r="H215" t="s">
        <v>26</v>
      </c>
      <c r="I215">
        <v>8.7899999999999991</v>
      </c>
    </row>
    <row r="216" spans="1:9" x14ac:dyDescent="0.35">
      <c r="A216">
        <v>1220</v>
      </c>
      <c r="B216" s="1">
        <v>45124</v>
      </c>
      <c r="C216" t="s">
        <v>70</v>
      </c>
      <c r="D216" t="s">
        <v>17</v>
      </c>
      <c r="E216" t="s">
        <v>24</v>
      </c>
      <c r="F216">
        <v>4</v>
      </c>
      <c r="G216">
        <v>5.04</v>
      </c>
      <c r="H216" t="s">
        <v>12</v>
      </c>
      <c r="I216">
        <v>20.16</v>
      </c>
    </row>
    <row r="217" spans="1:9" x14ac:dyDescent="0.35">
      <c r="A217">
        <v>1221</v>
      </c>
      <c r="B217" s="1">
        <v>45173</v>
      </c>
      <c r="C217" t="s">
        <v>55</v>
      </c>
      <c r="D217" t="s">
        <v>20</v>
      </c>
      <c r="E217" t="s">
        <v>18</v>
      </c>
      <c r="F217">
        <v>7</v>
      </c>
      <c r="G217">
        <v>3.63</v>
      </c>
      <c r="H217" t="s">
        <v>12</v>
      </c>
      <c r="I217">
        <v>25.41</v>
      </c>
    </row>
    <row r="218" spans="1:9" x14ac:dyDescent="0.35">
      <c r="A218">
        <v>1222</v>
      </c>
      <c r="B218" s="1">
        <v>45250</v>
      </c>
      <c r="C218" t="s">
        <v>35</v>
      </c>
      <c r="D218" t="s">
        <v>17</v>
      </c>
      <c r="E218" t="s">
        <v>11</v>
      </c>
      <c r="F218">
        <v>4</v>
      </c>
      <c r="G218">
        <v>5.99</v>
      </c>
      <c r="H218" t="s">
        <v>12</v>
      </c>
      <c r="I218">
        <v>23.96</v>
      </c>
    </row>
    <row r="219" spans="1:9" x14ac:dyDescent="0.35">
      <c r="A219">
        <v>1223</v>
      </c>
      <c r="B219" s="1">
        <v>45129</v>
      </c>
      <c r="C219" t="s">
        <v>35</v>
      </c>
      <c r="D219" t="s">
        <v>14</v>
      </c>
      <c r="E219" t="s">
        <v>24</v>
      </c>
      <c r="F219">
        <v>2</v>
      </c>
      <c r="G219">
        <v>5.93</v>
      </c>
      <c r="H219" t="s">
        <v>12</v>
      </c>
      <c r="I219">
        <v>11.86</v>
      </c>
    </row>
    <row r="220" spans="1:9" x14ac:dyDescent="0.35">
      <c r="A220">
        <v>1224</v>
      </c>
      <c r="B220" s="1">
        <v>45110</v>
      </c>
      <c r="C220" t="s">
        <v>58</v>
      </c>
      <c r="D220" t="s">
        <v>14</v>
      </c>
      <c r="E220" t="s">
        <v>21</v>
      </c>
      <c r="F220">
        <v>7</v>
      </c>
      <c r="G220">
        <v>4.8</v>
      </c>
      <c r="H220" t="s">
        <v>26</v>
      </c>
      <c r="I220">
        <v>33.6</v>
      </c>
    </row>
    <row r="221" spans="1:9" x14ac:dyDescent="0.35">
      <c r="A221">
        <v>1225</v>
      </c>
      <c r="B221" s="1">
        <v>45049</v>
      </c>
      <c r="C221" t="s">
        <v>65</v>
      </c>
      <c r="D221" t="s">
        <v>23</v>
      </c>
      <c r="E221" t="s">
        <v>21</v>
      </c>
      <c r="F221">
        <v>6</v>
      </c>
      <c r="G221">
        <v>2.95</v>
      </c>
      <c r="H221" t="s">
        <v>12</v>
      </c>
      <c r="I221">
        <v>17.7</v>
      </c>
    </row>
    <row r="222" spans="1:9" x14ac:dyDescent="0.35">
      <c r="A222">
        <v>1226</v>
      </c>
      <c r="B222" s="1">
        <v>45181</v>
      </c>
      <c r="C222" t="s">
        <v>50</v>
      </c>
      <c r="D222" t="s">
        <v>20</v>
      </c>
      <c r="E222" t="s">
        <v>24</v>
      </c>
      <c r="F222">
        <v>3</v>
      </c>
      <c r="G222">
        <v>4.9000000000000004</v>
      </c>
      <c r="H222" t="s">
        <v>26</v>
      </c>
      <c r="I222">
        <v>14.7</v>
      </c>
    </row>
    <row r="223" spans="1:9" x14ac:dyDescent="0.35">
      <c r="A223">
        <v>1227</v>
      </c>
      <c r="B223" s="1">
        <v>45220</v>
      </c>
      <c r="C223" t="s">
        <v>87</v>
      </c>
      <c r="D223" t="s">
        <v>17</v>
      </c>
      <c r="E223" t="s">
        <v>24</v>
      </c>
      <c r="F223">
        <v>6</v>
      </c>
      <c r="G223">
        <v>2.83</v>
      </c>
      <c r="H223" t="s">
        <v>26</v>
      </c>
      <c r="I223">
        <v>16.98</v>
      </c>
    </row>
    <row r="224" spans="1:9" x14ac:dyDescent="0.35">
      <c r="A224">
        <v>1228</v>
      </c>
      <c r="B224" s="1">
        <v>45206</v>
      </c>
      <c r="C224" t="s">
        <v>30</v>
      </c>
      <c r="D224" t="s">
        <v>10</v>
      </c>
      <c r="E224" t="s">
        <v>24</v>
      </c>
      <c r="F224">
        <v>6</v>
      </c>
      <c r="G224">
        <v>2.6</v>
      </c>
      <c r="H224" t="s">
        <v>12</v>
      </c>
      <c r="I224">
        <v>15.6</v>
      </c>
    </row>
    <row r="225" spans="1:9" x14ac:dyDescent="0.35">
      <c r="A225">
        <v>1229</v>
      </c>
      <c r="B225" s="1">
        <v>45251</v>
      </c>
      <c r="C225" t="s">
        <v>80</v>
      </c>
      <c r="D225" t="s">
        <v>14</v>
      </c>
      <c r="E225" t="s">
        <v>21</v>
      </c>
      <c r="F225">
        <v>5</v>
      </c>
      <c r="G225">
        <v>5.38</v>
      </c>
      <c r="H225" t="s">
        <v>12</v>
      </c>
      <c r="I225">
        <v>26.9</v>
      </c>
    </row>
    <row r="226" spans="1:9" x14ac:dyDescent="0.35">
      <c r="A226">
        <v>1230</v>
      </c>
      <c r="B226" s="1">
        <v>45024</v>
      </c>
      <c r="C226" t="s">
        <v>89</v>
      </c>
      <c r="D226" t="s">
        <v>14</v>
      </c>
      <c r="E226" t="s">
        <v>21</v>
      </c>
      <c r="F226">
        <v>4</v>
      </c>
      <c r="G226">
        <v>3.23</v>
      </c>
      <c r="H226" t="s">
        <v>12</v>
      </c>
      <c r="I226">
        <v>12.92</v>
      </c>
    </row>
    <row r="227" spans="1:9" x14ac:dyDescent="0.35">
      <c r="A227">
        <v>1231</v>
      </c>
      <c r="B227" s="1">
        <v>45124</v>
      </c>
      <c r="C227" t="s">
        <v>81</v>
      </c>
      <c r="D227" t="s">
        <v>10</v>
      </c>
      <c r="E227" t="s">
        <v>24</v>
      </c>
      <c r="F227">
        <v>1</v>
      </c>
      <c r="G227">
        <v>3.83</v>
      </c>
      <c r="H227" t="s">
        <v>12</v>
      </c>
      <c r="I227">
        <v>3.83</v>
      </c>
    </row>
    <row r="228" spans="1:9" x14ac:dyDescent="0.35">
      <c r="A228">
        <v>1232</v>
      </c>
      <c r="B228" s="1">
        <v>45166</v>
      </c>
      <c r="C228" t="s">
        <v>54</v>
      </c>
      <c r="D228" t="s">
        <v>17</v>
      </c>
      <c r="E228" t="s">
        <v>15</v>
      </c>
      <c r="F228">
        <v>6</v>
      </c>
      <c r="G228">
        <v>5.91</v>
      </c>
      <c r="H228" t="s">
        <v>12</v>
      </c>
      <c r="I228">
        <v>35.46</v>
      </c>
    </row>
    <row r="229" spans="1:9" x14ac:dyDescent="0.35">
      <c r="A229">
        <v>1233</v>
      </c>
      <c r="B229" s="1">
        <v>45070</v>
      </c>
      <c r="C229" t="s">
        <v>33</v>
      </c>
      <c r="D229" t="s">
        <v>17</v>
      </c>
      <c r="E229" t="s">
        <v>15</v>
      </c>
      <c r="F229">
        <v>2</v>
      </c>
      <c r="G229">
        <v>3.68</v>
      </c>
      <c r="H229" t="s">
        <v>26</v>
      </c>
      <c r="I229">
        <v>7.36</v>
      </c>
    </row>
    <row r="230" spans="1:9" x14ac:dyDescent="0.35">
      <c r="A230">
        <v>1234</v>
      </c>
      <c r="B230" s="1">
        <v>45023</v>
      </c>
      <c r="C230" t="s">
        <v>13</v>
      </c>
      <c r="D230" t="s">
        <v>20</v>
      </c>
      <c r="E230" t="s">
        <v>18</v>
      </c>
      <c r="F230">
        <v>3</v>
      </c>
      <c r="G230">
        <v>3.54</v>
      </c>
      <c r="H230" t="s">
        <v>12</v>
      </c>
      <c r="I230">
        <v>10.62</v>
      </c>
    </row>
    <row r="231" spans="1:9" x14ac:dyDescent="0.35">
      <c r="A231">
        <v>1235</v>
      </c>
      <c r="B231" s="1">
        <v>45127</v>
      </c>
      <c r="C231" t="s">
        <v>42</v>
      </c>
      <c r="D231" t="s">
        <v>20</v>
      </c>
      <c r="E231" t="s">
        <v>11</v>
      </c>
      <c r="F231">
        <v>8</v>
      </c>
      <c r="G231">
        <v>5.71</v>
      </c>
      <c r="H231" t="s">
        <v>12</v>
      </c>
      <c r="I231">
        <v>45.68</v>
      </c>
    </row>
    <row r="232" spans="1:9" x14ac:dyDescent="0.35">
      <c r="A232">
        <v>1236</v>
      </c>
      <c r="B232" s="1">
        <v>45050</v>
      </c>
      <c r="C232" t="s">
        <v>86</v>
      </c>
      <c r="D232" t="s">
        <v>28</v>
      </c>
      <c r="E232" t="s">
        <v>15</v>
      </c>
      <c r="F232">
        <v>6</v>
      </c>
      <c r="G232">
        <v>2.89</v>
      </c>
      <c r="H232" t="s">
        <v>12</v>
      </c>
      <c r="I232">
        <v>17.34</v>
      </c>
    </row>
    <row r="233" spans="1:9" x14ac:dyDescent="0.35">
      <c r="A233">
        <v>1237</v>
      </c>
      <c r="B233" s="1">
        <v>45113</v>
      </c>
      <c r="C233" t="s">
        <v>72</v>
      </c>
      <c r="D233" t="s">
        <v>95</v>
      </c>
      <c r="E233" t="s">
        <v>21</v>
      </c>
      <c r="F233">
        <v>3</v>
      </c>
      <c r="G233">
        <v>5.16</v>
      </c>
      <c r="H233" t="s">
        <v>26</v>
      </c>
      <c r="I233">
        <v>15.48</v>
      </c>
    </row>
    <row r="234" spans="1:9" x14ac:dyDescent="0.35">
      <c r="A234">
        <v>1238</v>
      </c>
      <c r="B234" s="1">
        <v>45252</v>
      </c>
      <c r="C234" t="s">
        <v>41</v>
      </c>
      <c r="D234" t="s">
        <v>23</v>
      </c>
      <c r="E234" t="s">
        <v>15</v>
      </c>
      <c r="F234">
        <v>7</v>
      </c>
      <c r="G234">
        <v>5.96</v>
      </c>
      <c r="H234" t="s">
        <v>12</v>
      </c>
      <c r="I234">
        <v>41.72</v>
      </c>
    </row>
    <row r="235" spans="1:9" x14ac:dyDescent="0.35">
      <c r="A235">
        <v>1239</v>
      </c>
      <c r="B235" s="1">
        <v>45275</v>
      </c>
      <c r="C235" t="s">
        <v>42</v>
      </c>
      <c r="D235" t="s">
        <v>14</v>
      </c>
      <c r="E235" t="s">
        <v>18</v>
      </c>
      <c r="F235">
        <v>4</v>
      </c>
      <c r="G235">
        <v>5.65</v>
      </c>
      <c r="H235" t="s">
        <v>26</v>
      </c>
      <c r="I235">
        <v>22.6</v>
      </c>
    </row>
    <row r="236" spans="1:9" x14ac:dyDescent="0.35">
      <c r="A236">
        <v>1240</v>
      </c>
      <c r="B236" s="1">
        <v>45185</v>
      </c>
      <c r="C236" t="s">
        <v>84</v>
      </c>
      <c r="D236" t="s">
        <v>20</v>
      </c>
      <c r="E236" t="s">
        <v>18</v>
      </c>
      <c r="F236">
        <v>9</v>
      </c>
      <c r="G236">
        <v>4.78</v>
      </c>
      <c r="H236" t="s">
        <v>12</v>
      </c>
      <c r="I236">
        <v>43.02</v>
      </c>
    </row>
    <row r="237" spans="1:9" x14ac:dyDescent="0.35">
      <c r="A237">
        <v>1241</v>
      </c>
      <c r="B237" s="1">
        <v>45074</v>
      </c>
      <c r="C237" t="s">
        <v>88</v>
      </c>
      <c r="D237" t="s">
        <v>17</v>
      </c>
      <c r="E237" t="s">
        <v>11</v>
      </c>
      <c r="F237">
        <v>5</v>
      </c>
      <c r="G237">
        <v>3.6</v>
      </c>
      <c r="H237" t="s">
        <v>12</v>
      </c>
      <c r="I237">
        <v>18</v>
      </c>
    </row>
    <row r="238" spans="1:9" x14ac:dyDescent="0.35">
      <c r="A238">
        <v>1242</v>
      </c>
      <c r="B238" s="1">
        <v>45178</v>
      </c>
      <c r="C238" t="s">
        <v>22</v>
      </c>
      <c r="D238" t="s">
        <v>10</v>
      </c>
      <c r="E238" t="s">
        <v>15</v>
      </c>
      <c r="F238">
        <v>3</v>
      </c>
      <c r="G238">
        <v>3.39</v>
      </c>
      <c r="H238" t="s">
        <v>26</v>
      </c>
      <c r="I238">
        <v>10.17</v>
      </c>
    </row>
    <row r="239" spans="1:9" x14ac:dyDescent="0.35">
      <c r="A239">
        <v>1243</v>
      </c>
      <c r="B239" s="1">
        <v>45272</v>
      </c>
      <c r="C239" t="s">
        <v>19</v>
      </c>
      <c r="D239" t="s">
        <v>17</v>
      </c>
      <c r="E239" t="s">
        <v>21</v>
      </c>
      <c r="F239">
        <v>2</v>
      </c>
      <c r="G239">
        <v>5.37</v>
      </c>
      <c r="H239" t="s">
        <v>12</v>
      </c>
      <c r="I239">
        <v>10.74</v>
      </c>
    </row>
    <row r="240" spans="1:9" x14ac:dyDescent="0.35">
      <c r="A240">
        <v>1244</v>
      </c>
      <c r="B240" s="1">
        <v>45073</v>
      </c>
      <c r="C240" t="s">
        <v>33</v>
      </c>
      <c r="D240" t="s">
        <v>14</v>
      </c>
      <c r="E240" t="s">
        <v>21</v>
      </c>
      <c r="F240">
        <v>2</v>
      </c>
      <c r="G240">
        <v>5.58</v>
      </c>
      <c r="H240" t="s">
        <v>26</v>
      </c>
      <c r="I240">
        <v>11.16</v>
      </c>
    </row>
    <row r="241" spans="1:9" x14ac:dyDescent="0.35">
      <c r="A241">
        <v>1245</v>
      </c>
      <c r="B241" s="1">
        <v>45074</v>
      </c>
      <c r="C241" t="s">
        <v>84</v>
      </c>
      <c r="D241" t="s">
        <v>28</v>
      </c>
      <c r="E241" t="s">
        <v>24</v>
      </c>
      <c r="F241">
        <v>3</v>
      </c>
      <c r="G241">
        <v>4.34</v>
      </c>
      <c r="H241" t="s">
        <v>26</v>
      </c>
      <c r="I241">
        <v>13.02</v>
      </c>
    </row>
    <row r="242" spans="1:9" x14ac:dyDescent="0.35">
      <c r="A242">
        <v>1246</v>
      </c>
      <c r="B242" s="1">
        <v>45278</v>
      </c>
      <c r="C242" t="s">
        <v>75</v>
      </c>
      <c r="D242" t="s">
        <v>17</v>
      </c>
      <c r="E242" t="s">
        <v>21</v>
      </c>
      <c r="F242">
        <v>2</v>
      </c>
      <c r="G242">
        <v>3.36</v>
      </c>
      <c r="H242" t="s">
        <v>26</v>
      </c>
      <c r="I242">
        <v>6.72</v>
      </c>
    </row>
    <row r="243" spans="1:9" x14ac:dyDescent="0.35">
      <c r="A243">
        <v>1247</v>
      </c>
      <c r="B243" s="1">
        <v>45125</v>
      </c>
      <c r="C243" t="s">
        <v>71</v>
      </c>
      <c r="D243" t="s">
        <v>23</v>
      </c>
      <c r="E243" t="s">
        <v>11</v>
      </c>
      <c r="F243">
        <v>4</v>
      </c>
      <c r="G243">
        <v>2.9</v>
      </c>
      <c r="H243" t="s">
        <v>12</v>
      </c>
      <c r="I243">
        <v>11.6</v>
      </c>
    </row>
    <row r="244" spans="1:9" x14ac:dyDescent="0.35">
      <c r="A244">
        <v>1248</v>
      </c>
      <c r="B244" s="1">
        <v>45234</v>
      </c>
      <c r="C244" t="s">
        <v>58</v>
      </c>
      <c r="D244" t="s">
        <v>14</v>
      </c>
      <c r="E244" t="s">
        <v>11</v>
      </c>
      <c r="F244">
        <v>2</v>
      </c>
      <c r="G244">
        <v>2.81</v>
      </c>
      <c r="H244" t="s">
        <v>12</v>
      </c>
      <c r="I244">
        <v>5.62</v>
      </c>
    </row>
    <row r="245" spans="1:9" x14ac:dyDescent="0.35">
      <c r="A245">
        <v>1249</v>
      </c>
      <c r="B245" s="1">
        <v>45054</v>
      </c>
      <c r="C245" t="s">
        <v>93</v>
      </c>
      <c r="D245" t="s">
        <v>28</v>
      </c>
      <c r="E245" t="s">
        <v>21</v>
      </c>
      <c r="F245">
        <v>9</v>
      </c>
      <c r="G245">
        <v>5.0199999999999996</v>
      </c>
      <c r="H245" t="s">
        <v>12</v>
      </c>
      <c r="I245">
        <v>45.18</v>
      </c>
    </row>
    <row r="246" spans="1:9" x14ac:dyDescent="0.35">
      <c r="A246">
        <v>1250</v>
      </c>
      <c r="B246" s="1">
        <v>44965</v>
      </c>
      <c r="C246" t="s">
        <v>53</v>
      </c>
      <c r="D246" t="s">
        <v>10</v>
      </c>
      <c r="E246" t="s">
        <v>21</v>
      </c>
      <c r="F246">
        <v>2</v>
      </c>
      <c r="G246">
        <v>3.97</v>
      </c>
      <c r="H246" t="s">
        <v>26</v>
      </c>
      <c r="I246">
        <v>7.94</v>
      </c>
    </row>
    <row r="247" spans="1:9" x14ac:dyDescent="0.35">
      <c r="A247">
        <v>1251</v>
      </c>
      <c r="B247" s="1">
        <v>45264</v>
      </c>
      <c r="C247" t="s">
        <v>99</v>
      </c>
      <c r="D247" t="s">
        <v>28</v>
      </c>
      <c r="E247" t="s">
        <v>24</v>
      </c>
      <c r="F247">
        <v>9</v>
      </c>
      <c r="G247">
        <v>5.67</v>
      </c>
      <c r="H247" t="s">
        <v>12</v>
      </c>
      <c r="I247">
        <v>51.03</v>
      </c>
    </row>
    <row r="248" spans="1:9" x14ac:dyDescent="0.35">
      <c r="A248">
        <v>1252</v>
      </c>
      <c r="B248" s="1">
        <v>45286</v>
      </c>
      <c r="C248" t="s">
        <v>74</v>
      </c>
      <c r="D248" t="s">
        <v>23</v>
      </c>
      <c r="E248" t="s">
        <v>21</v>
      </c>
      <c r="F248">
        <v>6</v>
      </c>
      <c r="G248">
        <v>5.09</v>
      </c>
      <c r="H248" t="s">
        <v>26</v>
      </c>
      <c r="I248">
        <v>30.54</v>
      </c>
    </row>
    <row r="249" spans="1:9" x14ac:dyDescent="0.35">
      <c r="A249">
        <v>1253</v>
      </c>
      <c r="B249" s="1">
        <v>45055</v>
      </c>
      <c r="C249" t="s">
        <v>78</v>
      </c>
      <c r="D249" t="s">
        <v>14</v>
      </c>
      <c r="E249" t="s">
        <v>24</v>
      </c>
      <c r="F249">
        <v>1</v>
      </c>
      <c r="G249">
        <v>3.17</v>
      </c>
      <c r="H249" t="s">
        <v>12</v>
      </c>
      <c r="I249">
        <v>3.17</v>
      </c>
    </row>
    <row r="250" spans="1:9" x14ac:dyDescent="0.35">
      <c r="A250">
        <v>1254</v>
      </c>
      <c r="B250" s="1">
        <v>45193</v>
      </c>
      <c r="C250" t="s">
        <v>46</v>
      </c>
      <c r="D250" t="s">
        <v>10</v>
      </c>
      <c r="E250" t="s">
        <v>24</v>
      </c>
      <c r="F250">
        <v>4</v>
      </c>
      <c r="G250">
        <v>4.6500000000000004</v>
      </c>
      <c r="H250" t="s">
        <v>26</v>
      </c>
      <c r="I250">
        <v>18.600000000000001</v>
      </c>
    </row>
    <row r="251" spans="1:9" x14ac:dyDescent="0.35">
      <c r="A251">
        <v>1255</v>
      </c>
      <c r="B251" s="1">
        <v>45077</v>
      </c>
      <c r="C251" t="s">
        <v>30</v>
      </c>
      <c r="D251" t="s">
        <v>23</v>
      </c>
      <c r="E251" t="s">
        <v>21</v>
      </c>
      <c r="F251">
        <v>1</v>
      </c>
      <c r="G251">
        <v>4.0199999999999996</v>
      </c>
      <c r="H251" t="s">
        <v>26</v>
      </c>
      <c r="I251">
        <v>4.0199999999999996</v>
      </c>
    </row>
    <row r="252" spans="1:9" x14ac:dyDescent="0.35">
      <c r="A252">
        <v>1256</v>
      </c>
      <c r="B252" s="1">
        <v>45224</v>
      </c>
      <c r="C252" t="s">
        <v>79</v>
      </c>
      <c r="D252" t="s">
        <v>28</v>
      </c>
      <c r="E252" t="s">
        <v>18</v>
      </c>
      <c r="F252">
        <v>6</v>
      </c>
      <c r="G252">
        <v>4.5199999999999996</v>
      </c>
      <c r="H252" t="s">
        <v>26</v>
      </c>
      <c r="I252">
        <v>27.12</v>
      </c>
    </row>
    <row r="253" spans="1:9" x14ac:dyDescent="0.35">
      <c r="A253">
        <v>1257</v>
      </c>
      <c r="B253" s="1">
        <v>45025</v>
      </c>
      <c r="C253" t="s">
        <v>51</v>
      </c>
      <c r="D253" t="s">
        <v>23</v>
      </c>
      <c r="E253" t="s">
        <v>18</v>
      </c>
      <c r="F253">
        <v>4</v>
      </c>
      <c r="G253">
        <v>5.08</v>
      </c>
      <c r="H253" t="s">
        <v>12</v>
      </c>
      <c r="I253">
        <v>20.32</v>
      </c>
    </row>
    <row r="254" spans="1:9" x14ac:dyDescent="0.35">
      <c r="A254">
        <v>1258</v>
      </c>
      <c r="B254" s="1">
        <v>45189</v>
      </c>
      <c r="C254" t="s">
        <v>79</v>
      </c>
      <c r="D254" t="s">
        <v>14</v>
      </c>
      <c r="E254" t="s">
        <v>24</v>
      </c>
      <c r="F254">
        <v>3</v>
      </c>
      <c r="G254">
        <v>5.32</v>
      </c>
      <c r="H254" t="s">
        <v>26</v>
      </c>
      <c r="I254">
        <v>15.96</v>
      </c>
    </row>
    <row r="255" spans="1:9" x14ac:dyDescent="0.35">
      <c r="A255">
        <v>1259</v>
      </c>
      <c r="B255" s="1">
        <v>45178</v>
      </c>
      <c r="C255" t="s">
        <v>22</v>
      </c>
      <c r="D255" t="s">
        <v>20</v>
      </c>
      <c r="E255" t="s">
        <v>21</v>
      </c>
      <c r="F255">
        <v>3</v>
      </c>
      <c r="G255">
        <v>5.45</v>
      </c>
      <c r="H255" t="s">
        <v>26</v>
      </c>
      <c r="I255">
        <v>16.350000000000001</v>
      </c>
    </row>
    <row r="256" spans="1:9" x14ac:dyDescent="0.35">
      <c r="A256">
        <v>1260</v>
      </c>
      <c r="B256" s="1">
        <v>45070</v>
      </c>
      <c r="C256" t="s">
        <v>57</v>
      </c>
      <c r="D256" t="s">
        <v>23</v>
      </c>
      <c r="E256" t="s">
        <v>18</v>
      </c>
      <c r="F256">
        <v>9</v>
      </c>
      <c r="G256">
        <v>3.39</v>
      </c>
      <c r="H256" t="s">
        <v>26</v>
      </c>
      <c r="I256">
        <v>30.51</v>
      </c>
    </row>
    <row r="257" spans="1:9" x14ac:dyDescent="0.35">
      <c r="A257">
        <v>1261</v>
      </c>
      <c r="B257" s="1">
        <v>45272</v>
      </c>
      <c r="C257" t="s">
        <v>99</v>
      </c>
      <c r="D257" t="s">
        <v>23</v>
      </c>
      <c r="E257" t="s">
        <v>21</v>
      </c>
      <c r="F257">
        <v>6</v>
      </c>
      <c r="G257">
        <v>2.61</v>
      </c>
      <c r="H257" t="s">
        <v>26</v>
      </c>
      <c r="I257">
        <v>15.66</v>
      </c>
    </row>
    <row r="258" spans="1:9" x14ac:dyDescent="0.35">
      <c r="A258">
        <v>1262</v>
      </c>
      <c r="B258" s="1">
        <v>45038</v>
      </c>
      <c r="C258" t="s">
        <v>30</v>
      </c>
      <c r="D258" t="s">
        <v>28</v>
      </c>
      <c r="E258" t="s">
        <v>21</v>
      </c>
      <c r="F258">
        <v>9</v>
      </c>
      <c r="G258">
        <v>5.09</v>
      </c>
      <c r="H258" t="s">
        <v>26</v>
      </c>
      <c r="I258">
        <v>45.81</v>
      </c>
    </row>
    <row r="259" spans="1:9" x14ac:dyDescent="0.35">
      <c r="A259">
        <v>1263</v>
      </c>
      <c r="B259" s="1">
        <v>44986</v>
      </c>
      <c r="C259" t="s">
        <v>90</v>
      </c>
      <c r="D259" t="s">
        <v>28</v>
      </c>
      <c r="E259" t="s">
        <v>21</v>
      </c>
      <c r="F259">
        <v>5</v>
      </c>
      <c r="G259">
        <v>2.87</v>
      </c>
      <c r="H259" t="s">
        <v>26</v>
      </c>
      <c r="I259">
        <v>14.35</v>
      </c>
    </row>
    <row r="260" spans="1:9" x14ac:dyDescent="0.35">
      <c r="A260">
        <v>1264</v>
      </c>
      <c r="B260" s="1">
        <v>44928</v>
      </c>
      <c r="C260" t="s">
        <v>66</v>
      </c>
      <c r="D260" t="s">
        <v>10</v>
      </c>
      <c r="E260" t="s">
        <v>15</v>
      </c>
      <c r="F260">
        <v>2</v>
      </c>
      <c r="G260">
        <v>3.6</v>
      </c>
      <c r="H260" t="s">
        <v>12</v>
      </c>
      <c r="I260">
        <v>7.2</v>
      </c>
    </row>
    <row r="261" spans="1:9" x14ac:dyDescent="0.35">
      <c r="A261">
        <v>1265</v>
      </c>
      <c r="B261" s="1">
        <v>45230</v>
      </c>
      <c r="C261" t="s">
        <v>79</v>
      </c>
      <c r="D261" t="s">
        <v>28</v>
      </c>
      <c r="E261" t="s">
        <v>21</v>
      </c>
      <c r="F261">
        <v>8</v>
      </c>
      <c r="G261">
        <v>2.5099999999999998</v>
      </c>
      <c r="H261" t="s">
        <v>12</v>
      </c>
      <c r="I261">
        <v>20.079999999999998</v>
      </c>
    </row>
    <row r="262" spans="1:9" x14ac:dyDescent="0.35">
      <c r="A262">
        <v>1266</v>
      </c>
      <c r="B262" s="1">
        <v>45180</v>
      </c>
      <c r="C262" t="s">
        <v>99</v>
      </c>
      <c r="D262" t="s">
        <v>17</v>
      </c>
      <c r="E262" t="s">
        <v>15</v>
      </c>
      <c r="F262">
        <v>5</v>
      </c>
      <c r="G262">
        <v>4.8899999999999997</v>
      </c>
      <c r="H262" t="s">
        <v>26</v>
      </c>
      <c r="I262">
        <v>24.45</v>
      </c>
    </row>
    <row r="263" spans="1:9" x14ac:dyDescent="0.35">
      <c r="A263">
        <v>1267</v>
      </c>
      <c r="B263" s="1">
        <v>45066</v>
      </c>
      <c r="C263" t="s">
        <v>57</v>
      </c>
      <c r="D263" t="s">
        <v>14</v>
      </c>
      <c r="E263" t="s">
        <v>24</v>
      </c>
      <c r="F263">
        <v>2</v>
      </c>
      <c r="G263">
        <v>3.08</v>
      </c>
      <c r="H263" t="s">
        <v>12</v>
      </c>
      <c r="I263">
        <v>6.16</v>
      </c>
    </row>
    <row r="264" spans="1:9" x14ac:dyDescent="0.35">
      <c r="A264">
        <v>1268</v>
      </c>
      <c r="B264" s="1">
        <v>44963</v>
      </c>
      <c r="C264" t="s">
        <v>30</v>
      </c>
      <c r="D264" t="s">
        <v>14</v>
      </c>
      <c r="E264" t="s">
        <v>18</v>
      </c>
      <c r="F264">
        <v>4</v>
      </c>
      <c r="G264">
        <v>4.79</v>
      </c>
      <c r="H264" t="s">
        <v>12</v>
      </c>
      <c r="I264">
        <v>19.16</v>
      </c>
    </row>
    <row r="265" spans="1:9" x14ac:dyDescent="0.35">
      <c r="A265">
        <v>1269</v>
      </c>
      <c r="B265" s="1">
        <v>45086</v>
      </c>
      <c r="C265" t="s">
        <v>75</v>
      </c>
      <c r="D265" t="s">
        <v>20</v>
      </c>
      <c r="E265" t="s">
        <v>18</v>
      </c>
      <c r="F265">
        <v>9</v>
      </c>
      <c r="G265">
        <v>5.97</v>
      </c>
      <c r="H265" t="s">
        <v>26</v>
      </c>
      <c r="I265">
        <v>53.73</v>
      </c>
    </row>
    <row r="266" spans="1:9" x14ac:dyDescent="0.35">
      <c r="A266">
        <v>1270</v>
      </c>
      <c r="B266" s="1">
        <v>44935</v>
      </c>
      <c r="C266" t="s">
        <v>37</v>
      </c>
      <c r="D266" t="s">
        <v>20</v>
      </c>
      <c r="E266" t="s">
        <v>18</v>
      </c>
      <c r="F266">
        <v>4</v>
      </c>
      <c r="G266">
        <v>2.75</v>
      </c>
      <c r="H266" t="s">
        <v>26</v>
      </c>
      <c r="I266">
        <v>11</v>
      </c>
    </row>
    <row r="267" spans="1:9" x14ac:dyDescent="0.35">
      <c r="A267">
        <v>1271</v>
      </c>
      <c r="B267" s="1">
        <v>45159</v>
      </c>
      <c r="C267" t="s">
        <v>81</v>
      </c>
      <c r="D267" t="s">
        <v>14</v>
      </c>
      <c r="E267" t="s">
        <v>18</v>
      </c>
      <c r="F267">
        <v>4</v>
      </c>
      <c r="G267">
        <v>2.77</v>
      </c>
      <c r="H267" t="s">
        <v>26</v>
      </c>
      <c r="I267">
        <v>11.08</v>
      </c>
    </row>
    <row r="268" spans="1:9" x14ac:dyDescent="0.35">
      <c r="A268">
        <v>1272</v>
      </c>
      <c r="B268" s="1">
        <v>45025</v>
      </c>
      <c r="C268" t="s">
        <v>49</v>
      </c>
      <c r="D268" t="s">
        <v>20</v>
      </c>
      <c r="E268" t="s">
        <v>18</v>
      </c>
      <c r="F268">
        <v>2</v>
      </c>
      <c r="G268">
        <v>3.69</v>
      </c>
      <c r="H268" t="s">
        <v>12</v>
      </c>
      <c r="I268">
        <v>7.38</v>
      </c>
    </row>
    <row r="269" spans="1:9" x14ac:dyDescent="0.35">
      <c r="A269">
        <v>1273</v>
      </c>
      <c r="B269" s="1">
        <v>45073</v>
      </c>
      <c r="C269" t="s">
        <v>91</v>
      </c>
      <c r="D269" t="s">
        <v>10</v>
      </c>
      <c r="E269" t="s">
        <v>18</v>
      </c>
      <c r="F269">
        <v>6</v>
      </c>
      <c r="G269">
        <v>5.53</v>
      </c>
      <c r="H269" t="s">
        <v>26</v>
      </c>
      <c r="I269">
        <v>33.18</v>
      </c>
    </row>
    <row r="270" spans="1:9" x14ac:dyDescent="0.35">
      <c r="A270">
        <v>1274</v>
      </c>
      <c r="B270" s="1">
        <v>45230</v>
      </c>
      <c r="C270" t="s">
        <v>58</v>
      </c>
      <c r="D270" t="s">
        <v>28</v>
      </c>
      <c r="E270" t="s">
        <v>18</v>
      </c>
      <c r="F270">
        <v>2</v>
      </c>
      <c r="G270">
        <v>3.25</v>
      </c>
      <c r="H270" t="s">
        <v>12</v>
      </c>
      <c r="I270">
        <v>6.5</v>
      </c>
    </row>
    <row r="271" spans="1:9" x14ac:dyDescent="0.35">
      <c r="A271">
        <v>1275</v>
      </c>
      <c r="B271" s="1">
        <v>45134</v>
      </c>
      <c r="C271" t="s">
        <v>35</v>
      </c>
      <c r="D271" t="s">
        <v>14</v>
      </c>
      <c r="E271" t="s">
        <v>24</v>
      </c>
      <c r="F271">
        <v>7</v>
      </c>
      <c r="G271">
        <v>3.76</v>
      </c>
      <c r="H271" t="s">
        <v>26</v>
      </c>
      <c r="I271">
        <v>26.32</v>
      </c>
    </row>
    <row r="272" spans="1:9" x14ac:dyDescent="0.35">
      <c r="A272">
        <v>1276</v>
      </c>
      <c r="B272" s="1">
        <v>45057</v>
      </c>
      <c r="C272" t="s">
        <v>58</v>
      </c>
      <c r="D272" t="s">
        <v>20</v>
      </c>
      <c r="E272" t="s">
        <v>21</v>
      </c>
      <c r="F272">
        <v>3</v>
      </c>
      <c r="G272">
        <v>2.74</v>
      </c>
      <c r="H272" t="s">
        <v>12</v>
      </c>
      <c r="I272">
        <v>8.2200000000000006</v>
      </c>
    </row>
    <row r="273" spans="1:9" x14ac:dyDescent="0.35">
      <c r="A273">
        <v>1277</v>
      </c>
      <c r="B273" s="1">
        <v>45078</v>
      </c>
      <c r="C273" t="s">
        <v>68</v>
      </c>
      <c r="D273" t="s">
        <v>14</v>
      </c>
      <c r="E273" t="s">
        <v>11</v>
      </c>
      <c r="F273">
        <v>3</v>
      </c>
      <c r="G273">
        <v>5.17</v>
      </c>
      <c r="H273" t="s">
        <v>26</v>
      </c>
      <c r="I273">
        <v>15.51</v>
      </c>
    </row>
    <row r="274" spans="1:9" x14ac:dyDescent="0.35">
      <c r="A274">
        <v>1278</v>
      </c>
      <c r="B274" s="1">
        <v>44980</v>
      </c>
      <c r="C274" t="s">
        <v>42</v>
      </c>
      <c r="D274" t="s">
        <v>17</v>
      </c>
      <c r="E274" t="s">
        <v>15</v>
      </c>
      <c r="F274">
        <v>5</v>
      </c>
      <c r="G274">
        <v>3.93</v>
      </c>
      <c r="H274" t="s">
        <v>26</v>
      </c>
      <c r="I274">
        <v>19.649999999999999</v>
      </c>
    </row>
    <row r="275" spans="1:9" x14ac:dyDescent="0.35">
      <c r="A275">
        <v>1279</v>
      </c>
      <c r="B275" s="1">
        <v>45046</v>
      </c>
      <c r="C275" t="s">
        <v>92</v>
      </c>
      <c r="D275" t="s">
        <v>23</v>
      </c>
      <c r="E275" t="s">
        <v>11</v>
      </c>
      <c r="F275">
        <v>3</v>
      </c>
      <c r="G275">
        <v>5.16</v>
      </c>
      <c r="H275" t="s">
        <v>12</v>
      </c>
      <c r="I275">
        <v>15.48</v>
      </c>
    </row>
    <row r="276" spans="1:9" x14ac:dyDescent="0.35">
      <c r="A276">
        <v>1280</v>
      </c>
      <c r="B276" s="1">
        <v>45087</v>
      </c>
      <c r="C276" t="s">
        <v>70</v>
      </c>
      <c r="D276" t="s">
        <v>28</v>
      </c>
      <c r="E276" t="s">
        <v>11</v>
      </c>
      <c r="F276">
        <v>2</v>
      </c>
      <c r="G276">
        <v>5.66</v>
      </c>
      <c r="H276" t="s">
        <v>12</v>
      </c>
      <c r="I276">
        <v>11.32</v>
      </c>
    </row>
    <row r="277" spans="1:9" x14ac:dyDescent="0.35">
      <c r="A277">
        <v>1281</v>
      </c>
      <c r="B277" s="1">
        <v>45042</v>
      </c>
      <c r="C277" t="s">
        <v>78</v>
      </c>
      <c r="D277" t="s">
        <v>14</v>
      </c>
      <c r="E277" t="s">
        <v>21</v>
      </c>
      <c r="F277">
        <v>9</v>
      </c>
      <c r="G277">
        <v>3.31</v>
      </c>
      <c r="H277" t="s">
        <v>12</v>
      </c>
      <c r="I277">
        <v>29.79</v>
      </c>
    </row>
    <row r="278" spans="1:9" x14ac:dyDescent="0.35">
      <c r="A278">
        <v>1282</v>
      </c>
      <c r="B278" s="1">
        <v>45001</v>
      </c>
      <c r="C278" t="s">
        <v>89</v>
      </c>
      <c r="D278" t="s">
        <v>23</v>
      </c>
      <c r="E278" t="s">
        <v>21</v>
      </c>
      <c r="F278">
        <v>2</v>
      </c>
      <c r="G278">
        <v>5.33</v>
      </c>
      <c r="H278" t="s">
        <v>12</v>
      </c>
      <c r="I278">
        <v>10.66</v>
      </c>
    </row>
    <row r="279" spans="1:9" x14ac:dyDescent="0.35">
      <c r="A279">
        <v>1283</v>
      </c>
      <c r="B279" s="1">
        <v>45039</v>
      </c>
      <c r="C279" t="s">
        <v>31</v>
      </c>
      <c r="D279" t="s">
        <v>20</v>
      </c>
      <c r="E279" t="s">
        <v>21</v>
      </c>
      <c r="F279">
        <v>2</v>
      </c>
      <c r="G279">
        <v>2.71</v>
      </c>
      <c r="H279" t="s">
        <v>12</v>
      </c>
      <c r="I279">
        <v>5.42</v>
      </c>
    </row>
    <row r="280" spans="1:9" x14ac:dyDescent="0.35">
      <c r="A280">
        <v>1284</v>
      </c>
      <c r="B280" s="1">
        <v>45030</v>
      </c>
      <c r="C280" t="s">
        <v>46</v>
      </c>
      <c r="D280" t="s">
        <v>23</v>
      </c>
      <c r="E280" t="s">
        <v>18</v>
      </c>
      <c r="F280">
        <v>8</v>
      </c>
      <c r="G280">
        <v>5.65</v>
      </c>
      <c r="H280" t="s">
        <v>12</v>
      </c>
      <c r="I280">
        <v>45.2</v>
      </c>
    </row>
    <row r="281" spans="1:9" x14ac:dyDescent="0.35">
      <c r="A281">
        <v>1285</v>
      </c>
      <c r="B281" s="1">
        <v>45266</v>
      </c>
      <c r="C281" t="s">
        <v>53</v>
      </c>
      <c r="D281" t="s">
        <v>28</v>
      </c>
      <c r="E281" t="s">
        <v>24</v>
      </c>
      <c r="F281">
        <v>9</v>
      </c>
      <c r="G281">
        <v>4.78</v>
      </c>
      <c r="H281" t="s">
        <v>26</v>
      </c>
      <c r="I281">
        <v>43.02</v>
      </c>
    </row>
    <row r="282" spans="1:9" x14ac:dyDescent="0.35">
      <c r="A282">
        <v>1286</v>
      </c>
      <c r="B282" s="1">
        <v>45180</v>
      </c>
      <c r="C282" t="s">
        <v>56</v>
      </c>
      <c r="D282" t="s">
        <v>14</v>
      </c>
      <c r="E282" t="s">
        <v>18</v>
      </c>
      <c r="F282">
        <v>7</v>
      </c>
      <c r="G282">
        <v>5.56</v>
      </c>
      <c r="H282" t="s">
        <v>12</v>
      </c>
      <c r="I282">
        <v>38.92</v>
      </c>
    </row>
    <row r="283" spans="1:9" x14ac:dyDescent="0.35">
      <c r="A283">
        <v>1287</v>
      </c>
      <c r="B283" s="1">
        <v>45153</v>
      </c>
      <c r="C283" t="s">
        <v>46</v>
      </c>
      <c r="D283" t="s">
        <v>17</v>
      </c>
      <c r="E283" t="s">
        <v>24</v>
      </c>
      <c r="F283">
        <v>3</v>
      </c>
      <c r="G283">
        <v>2.5</v>
      </c>
      <c r="H283" t="s">
        <v>26</v>
      </c>
      <c r="I283">
        <v>7.5</v>
      </c>
    </row>
    <row r="284" spans="1:9" x14ac:dyDescent="0.35">
      <c r="A284">
        <v>1288</v>
      </c>
      <c r="B284" s="1">
        <v>45038</v>
      </c>
      <c r="C284" t="s">
        <v>67</v>
      </c>
      <c r="D284" t="s">
        <v>20</v>
      </c>
      <c r="E284" t="s">
        <v>24</v>
      </c>
      <c r="F284">
        <v>9</v>
      </c>
      <c r="G284">
        <v>3.09</v>
      </c>
      <c r="H284" t="s">
        <v>26</v>
      </c>
      <c r="I284">
        <v>27.81</v>
      </c>
    </row>
    <row r="285" spans="1:9" x14ac:dyDescent="0.35">
      <c r="A285">
        <v>1289</v>
      </c>
      <c r="B285" s="1">
        <v>45025</v>
      </c>
      <c r="C285" t="s">
        <v>40</v>
      </c>
      <c r="D285" t="s">
        <v>14</v>
      </c>
      <c r="E285" t="s">
        <v>11</v>
      </c>
      <c r="F285">
        <v>3</v>
      </c>
      <c r="G285">
        <v>3.86</v>
      </c>
      <c r="H285" t="s">
        <v>12</v>
      </c>
      <c r="I285">
        <v>11.58</v>
      </c>
    </row>
    <row r="286" spans="1:9" x14ac:dyDescent="0.35">
      <c r="A286">
        <v>1290</v>
      </c>
      <c r="B286" s="1">
        <v>45079</v>
      </c>
      <c r="C286" t="s">
        <v>81</v>
      </c>
      <c r="D286" t="s">
        <v>28</v>
      </c>
      <c r="E286" t="s">
        <v>11</v>
      </c>
      <c r="F286">
        <v>5</v>
      </c>
      <c r="G286">
        <v>3.83</v>
      </c>
      <c r="H286" t="s">
        <v>26</v>
      </c>
      <c r="I286">
        <v>19.149999999999999</v>
      </c>
    </row>
    <row r="287" spans="1:9" x14ac:dyDescent="0.35">
      <c r="A287">
        <v>1291</v>
      </c>
      <c r="B287" s="1">
        <v>45275</v>
      </c>
      <c r="C287" t="s">
        <v>81</v>
      </c>
      <c r="D287" t="s">
        <v>20</v>
      </c>
      <c r="E287" t="s">
        <v>24</v>
      </c>
      <c r="F287">
        <v>9</v>
      </c>
      <c r="G287">
        <v>3.29</v>
      </c>
      <c r="H287" t="s">
        <v>12</v>
      </c>
      <c r="I287">
        <v>29.61</v>
      </c>
    </row>
    <row r="288" spans="1:9" x14ac:dyDescent="0.35">
      <c r="A288">
        <v>1292</v>
      </c>
      <c r="B288" s="1">
        <v>45264</v>
      </c>
      <c r="C288" t="s">
        <v>91</v>
      </c>
      <c r="D288" t="s">
        <v>10</v>
      </c>
      <c r="E288" t="s">
        <v>24</v>
      </c>
      <c r="F288">
        <v>3</v>
      </c>
      <c r="G288">
        <v>3.84</v>
      </c>
      <c r="H288" t="s">
        <v>12</v>
      </c>
      <c r="I288">
        <v>11.52</v>
      </c>
    </row>
    <row r="289" spans="1:9" x14ac:dyDescent="0.35">
      <c r="A289">
        <v>1293</v>
      </c>
      <c r="B289" s="1">
        <v>45120</v>
      </c>
      <c r="C289" t="s">
        <v>69</v>
      </c>
      <c r="D289" t="s">
        <v>23</v>
      </c>
      <c r="E289" t="s">
        <v>18</v>
      </c>
      <c r="F289">
        <v>7</v>
      </c>
      <c r="G289">
        <v>2.95</v>
      </c>
      <c r="H289" t="s">
        <v>26</v>
      </c>
      <c r="I289">
        <v>20.65</v>
      </c>
    </row>
    <row r="290" spans="1:9" x14ac:dyDescent="0.35">
      <c r="A290">
        <v>1294</v>
      </c>
      <c r="B290" s="1">
        <v>45236</v>
      </c>
      <c r="C290" t="s">
        <v>32</v>
      </c>
      <c r="D290" t="s">
        <v>28</v>
      </c>
      <c r="E290" t="s">
        <v>18</v>
      </c>
      <c r="F290">
        <v>1</v>
      </c>
      <c r="G290">
        <v>3.94</v>
      </c>
      <c r="H290" t="s">
        <v>26</v>
      </c>
      <c r="I290">
        <v>3.94</v>
      </c>
    </row>
    <row r="291" spans="1:9" x14ac:dyDescent="0.35">
      <c r="A291">
        <v>1295</v>
      </c>
      <c r="B291" s="1">
        <v>45089</v>
      </c>
      <c r="C291" t="s">
        <v>32</v>
      </c>
      <c r="D291" t="s">
        <v>10</v>
      </c>
      <c r="E291" t="s">
        <v>11</v>
      </c>
      <c r="F291">
        <v>4</v>
      </c>
      <c r="G291">
        <v>5.31</v>
      </c>
      <c r="H291" t="s">
        <v>12</v>
      </c>
      <c r="I291">
        <v>21.24</v>
      </c>
    </row>
    <row r="292" spans="1:9" x14ac:dyDescent="0.35">
      <c r="A292">
        <v>1296</v>
      </c>
      <c r="B292" s="1">
        <v>45134</v>
      </c>
      <c r="C292" t="s">
        <v>77</v>
      </c>
      <c r="D292" t="s">
        <v>14</v>
      </c>
      <c r="E292" t="s">
        <v>21</v>
      </c>
      <c r="F292">
        <v>4</v>
      </c>
      <c r="G292">
        <v>4.18</v>
      </c>
      <c r="H292" t="s">
        <v>12</v>
      </c>
      <c r="I292">
        <v>16.72</v>
      </c>
    </row>
    <row r="293" spans="1:9" x14ac:dyDescent="0.35">
      <c r="A293">
        <v>1297</v>
      </c>
      <c r="B293" s="1">
        <v>45095</v>
      </c>
      <c r="C293" t="s">
        <v>13</v>
      </c>
      <c r="D293" t="s">
        <v>17</v>
      </c>
      <c r="E293" t="s">
        <v>24</v>
      </c>
      <c r="F293">
        <v>7</v>
      </c>
      <c r="G293">
        <v>2.56</v>
      </c>
      <c r="H293" t="s">
        <v>26</v>
      </c>
      <c r="I293">
        <v>17.920000000000002</v>
      </c>
    </row>
    <row r="294" spans="1:9" x14ac:dyDescent="0.35">
      <c r="A294">
        <v>1298</v>
      </c>
      <c r="B294" s="1">
        <v>45087</v>
      </c>
      <c r="C294" t="s">
        <v>22</v>
      </c>
      <c r="D294" t="s">
        <v>20</v>
      </c>
      <c r="E294" t="s">
        <v>18</v>
      </c>
      <c r="F294">
        <v>8</v>
      </c>
      <c r="G294">
        <v>3.98</v>
      </c>
      <c r="H294" t="s">
        <v>26</v>
      </c>
      <c r="I294">
        <v>31.84</v>
      </c>
    </row>
    <row r="295" spans="1:9" x14ac:dyDescent="0.35">
      <c r="A295">
        <v>1299</v>
      </c>
      <c r="B295" s="1">
        <v>44994</v>
      </c>
      <c r="C295" t="s">
        <v>29</v>
      </c>
      <c r="D295" t="s">
        <v>23</v>
      </c>
      <c r="E295" t="s">
        <v>11</v>
      </c>
      <c r="F295">
        <v>1</v>
      </c>
      <c r="G295">
        <v>2.6</v>
      </c>
      <c r="H295" t="s">
        <v>26</v>
      </c>
      <c r="I295">
        <v>2.6</v>
      </c>
    </row>
    <row r="296" spans="1:9" x14ac:dyDescent="0.35">
      <c r="A296">
        <v>1300</v>
      </c>
      <c r="B296" s="1">
        <v>45215</v>
      </c>
      <c r="C296" t="s">
        <v>30</v>
      </c>
      <c r="D296" t="s">
        <v>20</v>
      </c>
      <c r="E296" t="s">
        <v>18</v>
      </c>
      <c r="F296">
        <v>5</v>
      </c>
      <c r="G296">
        <v>5.88</v>
      </c>
      <c r="H296" t="s">
        <v>26</v>
      </c>
      <c r="I296">
        <v>29.4</v>
      </c>
    </row>
    <row r="297" spans="1:9" x14ac:dyDescent="0.35">
      <c r="A297">
        <v>1301</v>
      </c>
      <c r="B297" s="1">
        <v>45203</v>
      </c>
      <c r="C297" t="s">
        <v>60</v>
      </c>
      <c r="D297" t="s">
        <v>14</v>
      </c>
      <c r="E297" t="s">
        <v>24</v>
      </c>
      <c r="F297">
        <v>7</v>
      </c>
      <c r="G297">
        <v>2.95</v>
      </c>
      <c r="H297" t="s">
        <v>12</v>
      </c>
      <c r="I297">
        <v>20.65</v>
      </c>
    </row>
    <row r="298" spans="1:9" x14ac:dyDescent="0.35">
      <c r="A298">
        <v>1302</v>
      </c>
      <c r="B298" s="1">
        <v>45230</v>
      </c>
      <c r="C298" t="s">
        <v>48</v>
      </c>
      <c r="D298" t="s">
        <v>20</v>
      </c>
      <c r="E298" t="s">
        <v>24</v>
      </c>
      <c r="F298">
        <v>4</v>
      </c>
      <c r="G298">
        <v>4.9800000000000004</v>
      </c>
      <c r="H298" t="s">
        <v>12</v>
      </c>
      <c r="I298">
        <v>19.920000000000002</v>
      </c>
    </row>
    <row r="299" spans="1:9" x14ac:dyDescent="0.35">
      <c r="A299">
        <v>1303</v>
      </c>
      <c r="B299" s="1">
        <v>45061</v>
      </c>
      <c r="C299" t="s">
        <v>75</v>
      </c>
      <c r="D299" t="s">
        <v>23</v>
      </c>
      <c r="E299" t="s">
        <v>15</v>
      </c>
      <c r="F299">
        <v>4</v>
      </c>
      <c r="G299">
        <v>5.9</v>
      </c>
      <c r="H299" t="s">
        <v>12</v>
      </c>
      <c r="I299">
        <v>23.6</v>
      </c>
    </row>
    <row r="300" spans="1:9" x14ac:dyDescent="0.35">
      <c r="A300">
        <v>1304</v>
      </c>
      <c r="B300" s="1">
        <v>45121</v>
      </c>
      <c r="C300" t="s">
        <v>73</v>
      </c>
      <c r="D300" t="s">
        <v>14</v>
      </c>
      <c r="E300" t="s">
        <v>21</v>
      </c>
      <c r="F300">
        <v>4</v>
      </c>
      <c r="G300">
        <v>5.39</v>
      </c>
      <c r="H300" t="s">
        <v>12</v>
      </c>
      <c r="I300">
        <v>21.56</v>
      </c>
    </row>
    <row r="301" spans="1:9" x14ac:dyDescent="0.35">
      <c r="A301">
        <v>1305</v>
      </c>
      <c r="B301" s="1">
        <v>45054</v>
      </c>
      <c r="C301" t="s">
        <v>29</v>
      </c>
      <c r="D301" t="s">
        <v>20</v>
      </c>
      <c r="E301" t="s">
        <v>15</v>
      </c>
      <c r="F301">
        <v>6</v>
      </c>
      <c r="G301">
        <v>4.95</v>
      </c>
      <c r="H301" t="s">
        <v>26</v>
      </c>
      <c r="I301">
        <v>29.7</v>
      </c>
    </row>
    <row r="302" spans="1:9" x14ac:dyDescent="0.35">
      <c r="A302">
        <v>1306</v>
      </c>
      <c r="B302" s="1">
        <v>44959</v>
      </c>
      <c r="C302" t="s">
        <v>100</v>
      </c>
      <c r="D302" t="s">
        <v>17</v>
      </c>
      <c r="E302" t="s">
        <v>11</v>
      </c>
      <c r="F302">
        <v>7</v>
      </c>
      <c r="G302">
        <v>5.44</v>
      </c>
      <c r="H302" t="s">
        <v>26</v>
      </c>
      <c r="I302">
        <v>38.08</v>
      </c>
    </row>
    <row r="303" spans="1:9" x14ac:dyDescent="0.35">
      <c r="A303">
        <v>1307</v>
      </c>
      <c r="B303" s="1">
        <v>45102</v>
      </c>
      <c r="C303" t="s">
        <v>48</v>
      </c>
      <c r="D303" t="s">
        <v>28</v>
      </c>
      <c r="E303" t="s">
        <v>18</v>
      </c>
      <c r="F303">
        <v>2</v>
      </c>
      <c r="G303">
        <v>5.94</v>
      </c>
      <c r="H303" t="s">
        <v>12</v>
      </c>
      <c r="I303">
        <v>11.88</v>
      </c>
    </row>
    <row r="304" spans="1:9" x14ac:dyDescent="0.35">
      <c r="A304">
        <v>1308</v>
      </c>
      <c r="B304" s="1">
        <v>44948</v>
      </c>
      <c r="C304" t="s">
        <v>82</v>
      </c>
      <c r="D304" t="s">
        <v>14</v>
      </c>
      <c r="E304" t="s">
        <v>11</v>
      </c>
      <c r="F304">
        <v>5</v>
      </c>
      <c r="G304">
        <v>4.67</v>
      </c>
      <c r="H304" t="s">
        <v>12</v>
      </c>
      <c r="I304">
        <v>23.35</v>
      </c>
    </row>
    <row r="305" spans="1:9" x14ac:dyDescent="0.35">
      <c r="A305">
        <v>1309</v>
      </c>
      <c r="B305" s="1">
        <v>45164</v>
      </c>
      <c r="C305" t="s">
        <v>87</v>
      </c>
      <c r="D305" t="s">
        <v>28</v>
      </c>
      <c r="E305" t="s">
        <v>24</v>
      </c>
      <c r="F305">
        <v>4</v>
      </c>
      <c r="G305">
        <v>4.46</v>
      </c>
      <c r="H305" t="s">
        <v>12</v>
      </c>
      <c r="I305">
        <v>17.84</v>
      </c>
    </row>
    <row r="306" spans="1:9" x14ac:dyDescent="0.35">
      <c r="A306">
        <v>1311</v>
      </c>
      <c r="B306" s="1">
        <v>44964</v>
      </c>
      <c r="C306" t="s">
        <v>19</v>
      </c>
      <c r="D306" t="s">
        <v>17</v>
      </c>
      <c r="E306" t="s">
        <v>15</v>
      </c>
      <c r="F306">
        <v>7</v>
      </c>
      <c r="G306">
        <v>4.3600000000000003</v>
      </c>
      <c r="H306" t="s">
        <v>12</v>
      </c>
      <c r="I306">
        <v>30.52</v>
      </c>
    </row>
    <row r="307" spans="1:9" x14ac:dyDescent="0.35">
      <c r="A307">
        <v>1312</v>
      </c>
      <c r="B307" s="1">
        <v>45156</v>
      </c>
      <c r="C307" t="s">
        <v>39</v>
      </c>
      <c r="D307" t="s">
        <v>28</v>
      </c>
      <c r="E307" t="s">
        <v>15</v>
      </c>
      <c r="F307">
        <v>6</v>
      </c>
      <c r="G307">
        <v>4.72</v>
      </c>
      <c r="H307" t="s">
        <v>12</v>
      </c>
      <c r="I307">
        <v>28.32</v>
      </c>
    </row>
    <row r="308" spans="1:9" x14ac:dyDescent="0.35">
      <c r="A308">
        <v>1313</v>
      </c>
      <c r="B308" s="1">
        <v>45291</v>
      </c>
      <c r="C308" t="s">
        <v>42</v>
      </c>
      <c r="D308" t="s">
        <v>10</v>
      </c>
      <c r="E308" t="s">
        <v>11</v>
      </c>
      <c r="F308">
        <v>7</v>
      </c>
      <c r="G308">
        <v>4.07</v>
      </c>
      <c r="H308" t="s">
        <v>12</v>
      </c>
      <c r="I308">
        <v>28.49</v>
      </c>
    </row>
    <row r="309" spans="1:9" x14ac:dyDescent="0.35">
      <c r="A309">
        <v>1314</v>
      </c>
      <c r="B309" s="1">
        <v>44977</v>
      </c>
      <c r="C309" t="s">
        <v>52</v>
      </c>
      <c r="D309" t="s">
        <v>23</v>
      </c>
      <c r="E309" t="s">
        <v>24</v>
      </c>
      <c r="F309">
        <v>5</v>
      </c>
      <c r="G309">
        <v>3.26</v>
      </c>
      <c r="H309" t="s">
        <v>12</v>
      </c>
      <c r="I309">
        <v>16.3</v>
      </c>
    </row>
    <row r="310" spans="1:9" x14ac:dyDescent="0.35">
      <c r="A310">
        <v>1315</v>
      </c>
      <c r="B310" s="1">
        <v>45190</v>
      </c>
      <c r="C310" t="s">
        <v>65</v>
      </c>
      <c r="D310" t="s">
        <v>10</v>
      </c>
      <c r="E310" t="s">
        <v>18</v>
      </c>
      <c r="F310">
        <v>6</v>
      </c>
      <c r="G310">
        <v>2.92</v>
      </c>
      <c r="H310" t="s">
        <v>12</v>
      </c>
      <c r="I310">
        <v>17.52</v>
      </c>
    </row>
    <row r="311" spans="1:9" x14ac:dyDescent="0.35">
      <c r="A311">
        <v>1316</v>
      </c>
      <c r="B311" s="1">
        <v>45209</v>
      </c>
      <c r="C311" t="s">
        <v>80</v>
      </c>
      <c r="D311" t="s">
        <v>20</v>
      </c>
      <c r="E311" t="s">
        <v>18</v>
      </c>
      <c r="F311">
        <v>5</v>
      </c>
      <c r="G311">
        <v>2.74</v>
      </c>
      <c r="H311" t="s">
        <v>26</v>
      </c>
      <c r="I311">
        <v>13.7</v>
      </c>
    </row>
    <row r="312" spans="1:9" x14ac:dyDescent="0.35">
      <c r="A312">
        <v>1317</v>
      </c>
      <c r="B312" s="1">
        <v>44953</v>
      </c>
      <c r="C312" t="s">
        <v>77</v>
      </c>
      <c r="D312" t="s">
        <v>17</v>
      </c>
      <c r="E312" t="s">
        <v>11</v>
      </c>
      <c r="F312">
        <v>7</v>
      </c>
      <c r="G312">
        <v>3.42</v>
      </c>
      <c r="H312" t="s">
        <v>12</v>
      </c>
      <c r="I312">
        <v>23.94</v>
      </c>
    </row>
    <row r="313" spans="1:9" x14ac:dyDescent="0.35">
      <c r="A313">
        <v>1318</v>
      </c>
      <c r="B313" s="1">
        <v>45152</v>
      </c>
      <c r="C313" t="s">
        <v>50</v>
      </c>
      <c r="D313" t="s">
        <v>10</v>
      </c>
      <c r="E313" t="s">
        <v>15</v>
      </c>
      <c r="F313">
        <v>2</v>
      </c>
      <c r="G313">
        <v>2.66</v>
      </c>
      <c r="H313" t="s">
        <v>26</v>
      </c>
      <c r="I313">
        <v>5.32</v>
      </c>
    </row>
    <row r="314" spans="1:9" x14ac:dyDescent="0.35">
      <c r="A314">
        <v>1319</v>
      </c>
      <c r="B314" s="1">
        <v>45203</v>
      </c>
      <c r="C314" t="s">
        <v>41</v>
      </c>
      <c r="D314" t="s">
        <v>14</v>
      </c>
      <c r="E314" t="s">
        <v>21</v>
      </c>
      <c r="F314">
        <v>5</v>
      </c>
      <c r="G314">
        <v>4.49</v>
      </c>
      <c r="H314" t="s">
        <v>26</v>
      </c>
      <c r="I314">
        <v>22.45</v>
      </c>
    </row>
    <row r="315" spans="1:9" x14ac:dyDescent="0.35">
      <c r="A315">
        <v>1320</v>
      </c>
      <c r="B315" s="1">
        <v>45212</v>
      </c>
      <c r="C315" t="s">
        <v>93</v>
      </c>
      <c r="D315" t="s">
        <v>20</v>
      </c>
      <c r="E315" t="s">
        <v>11</v>
      </c>
      <c r="F315">
        <v>6</v>
      </c>
      <c r="G315">
        <v>3.49</v>
      </c>
      <c r="H315" t="s">
        <v>12</v>
      </c>
      <c r="I315">
        <v>20.94</v>
      </c>
    </row>
    <row r="316" spans="1:9" x14ac:dyDescent="0.35">
      <c r="A316">
        <v>1321</v>
      </c>
      <c r="B316" s="1">
        <v>45023</v>
      </c>
      <c r="C316" t="s">
        <v>91</v>
      </c>
      <c r="D316" t="s">
        <v>20</v>
      </c>
      <c r="E316" t="s">
        <v>11</v>
      </c>
      <c r="F316">
        <v>6</v>
      </c>
      <c r="G316">
        <v>5.39</v>
      </c>
      <c r="H316" t="s">
        <v>12</v>
      </c>
      <c r="I316">
        <v>32.340000000000003</v>
      </c>
    </row>
    <row r="317" spans="1:9" x14ac:dyDescent="0.35">
      <c r="A317">
        <v>1322</v>
      </c>
      <c r="B317" s="1">
        <v>45210</v>
      </c>
      <c r="C317" t="s">
        <v>90</v>
      </c>
      <c r="D317" t="s">
        <v>10</v>
      </c>
      <c r="E317" t="s">
        <v>24</v>
      </c>
      <c r="F317">
        <v>5</v>
      </c>
      <c r="G317">
        <v>2.76</v>
      </c>
      <c r="H317" t="s">
        <v>26</v>
      </c>
      <c r="I317">
        <v>13.8</v>
      </c>
    </row>
    <row r="318" spans="1:9" x14ac:dyDescent="0.35">
      <c r="A318">
        <v>1323</v>
      </c>
      <c r="B318" s="1">
        <v>45243</v>
      </c>
      <c r="C318" t="s">
        <v>101</v>
      </c>
      <c r="D318" t="s">
        <v>10</v>
      </c>
      <c r="E318" t="s">
        <v>18</v>
      </c>
      <c r="F318">
        <v>7</v>
      </c>
      <c r="G318">
        <v>3.29</v>
      </c>
      <c r="H318" t="s">
        <v>26</v>
      </c>
      <c r="I318">
        <v>23.03</v>
      </c>
    </row>
    <row r="319" spans="1:9" x14ac:dyDescent="0.35">
      <c r="A319">
        <v>1324</v>
      </c>
      <c r="B319" s="1">
        <v>45230</v>
      </c>
      <c r="C319" t="s">
        <v>29</v>
      </c>
      <c r="D319" t="s">
        <v>17</v>
      </c>
      <c r="E319" t="s">
        <v>11</v>
      </c>
      <c r="F319">
        <v>8</v>
      </c>
      <c r="G319">
        <v>5.0599999999999996</v>
      </c>
      <c r="H319" t="s">
        <v>12</v>
      </c>
      <c r="I319">
        <v>40.479999999999997</v>
      </c>
    </row>
    <row r="320" spans="1:9" x14ac:dyDescent="0.35">
      <c r="A320">
        <v>1325</v>
      </c>
      <c r="B320" s="1">
        <v>45073</v>
      </c>
      <c r="C320" t="s">
        <v>41</v>
      </c>
      <c r="D320" t="s">
        <v>23</v>
      </c>
      <c r="E320" t="s">
        <v>11</v>
      </c>
      <c r="F320">
        <v>7</v>
      </c>
      <c r="G320">
        <v>4.5999999999999996</v>
      </c>
      <c r="H320" t="s">
        <v>26</v>
      </c>
      <c r="I320">
        <v>32.200000000000003</v>
      </c>
    </row>
    <row r="321" spans="1:9" x14ac:dyDescent="0.35">
      <c r="A321">
        <v>1326</v>
      </c>
      <c r="B321" s="1">
        <v>44930</v>
      </c>
      <c r="C321" t="s">
        <v>47</v>
      </c>
      <c r="D321" t="s">
        <v>10</v>
      </c>
      <c r="E321" t="s">
        <v>15</v>
      </c>
      <c r="F321">
        <v>5</v>
      </c>
      <c r="G321">
        <v>2.73</v>
      </c>
      <c r="H321" t="s">
        <v>12</v>
      </c>
      <c r="I321">
        <v>13.65</v>
      </c>
    </row>
    <row r="322" spans="1:9" x14ac:dyDescent="0.35">
      <c r="A322">
        <v>1327</v>
      </c>
      <c r="B322" s="1">
        <v>44961</v>
      </c>
      <c r="C322" t="s">
        <v>87</v>
      </c>
      <c r="D322" t="s">
        <v>10</v>
      </c>
      <c r="E322" t="s">
        <v>15</v>
      </c>
      <c r="F322">
        <v>1</v>
      </c>
      <c r="G322">
        <v>5.57</v>
      </c>
      <c r="H322" t="s">
        <v>12</v>
      </c>
      <c r="I322">
        <v>5.57</v>
      </c>
    </row>
    <row r="323" spans="1:9" x14ac:dyDescent="0.35">
      <c r="A323">
        <v>1328</v>
      </c>
      <c r="B323" s="1">
        <v>45118</v>
      </c>
      <c r="C323" t="s">
        <v>40</v>
      </c>
      <c r="D323" t="s">
        <v>28</v>
      </c>
      <c r="E323" t="s">
        <v>21</v>
      </c>
      <c r="F323">
        <v>5</v>
      </c>
      <c r="G323">
        <v>5.57</v>
      </c>
      <c r="H323" t="s">
        <v>12</v>
      </c>
      <c r="I323">
        <v>27.85</v>
      </c>
    </row>
    <row r="324" spans="1:9" x14ac:dyDescent="0.35">
      <c r="A324">
        <v>1330</v>
      </c>
      <c r="B324" s="1">
        <v>44943</v>
      </c>
      <c r="C324" t="s">
        <v>99</v>
      </c>
      <c r="D324" t="s">
        <v>28</v>
      </c>
      <c r="E324" t="s">
        <v>21</v>
      </c>
      <c r="F324">
        <v>5</v>
      </c>
      <c r="G324">
        <v>3.69</v>
      </c>
      <c r="H324" t="s">
        <v>26</v>
      </c>
      <c r="I324">
        <v>18.45</v>
      </c>
    </row>
    <row r="325" spans="1:9" x14ac:dyDescent="0.35">
      <c r="A325">
        <v>1331</v>
      </c>
      <c r="B325" s="1">
        <v>45098</v>
      </c>
      <c r="C325" t="s">
        <v>93</v>
      </c>
      <c r="D325" t="s">
        <v>28</v>
      </c>
      <c r="E325" t="s">
        <v>15</v>
      </c>
      <c r="F325">
        <v>5</v>
      </c>
      <c r="G325">
        <v>5.96</v>
      </c>
      <c r="H325" t="s">
        <v>12</v>
      </c>
      <c r="I325">
        <v>29.8</v>
      </c>
    </row>
    <row r="326" spans="1:9" x14ac:dyDescent="0.35">
      <c r="A326">
        <v>1332</v>
      </c>
      <c r="B326" s="1">
        <v>45146</v>
      </c>
      <c r="C326" t="s">
        <v>91</v>
      </c>
      <c r="D326" t="s">
        <v>20</v>
      </c>
      <c r="E326" t="s">
        <v>18</v>
      </c>
      <c r="F326">
        <v>2</v>
      </c>
      <c r="G326">
        <v>4.6900000000000004</v>
      </c>
      <c r="H326" t="s">
        <v>26</v>
      </c>
      <c r="I326">
        <v>9.3800000000000008</v>
      </c>
    </row>
    <row r="327" spans="1:9" x14ac:dyDescent="0.35">
      <c r="A327">
        <v>1333</v>
      </c>
      <c r="B327" s="1">
        <v>45084</v>
      </c>
      <c r="C327" t="s">
        <v>74</v>
      </c>
      <c r="D327" t="s">
        <v>23</v>
      </c>
      <c r="E327" t="s">
        <v>15</v>
      </c>
      <c r="F327">
        <v>5</v>
      </c>
      <c r="G327">
        <v>4.3600000000000003</v>
      </c>
      <c r="H327" t="s">
        <v>26</v>
      </c>
      <c r="I327">
        <v>21.8</v>
      </c>
    </row>
    <row r="328" spans="1:9" x14ac:dyDescent="0.35">
      <c r="A328">
        <v>1334</v>
      </c>
      <c r="B328" s="1">
        <v>44972</v>
      </c>
      <c r="C328" t="s">
        <v>64</v>
      </c>
      <c r="D328" t="s">
        <v>14</v>
      </c>
      <c r="E328" t="s">
        <v>24</v>
      </c>
      <c r="F328">
        <v>4</v>
      </c>
      <c r="G328">
        <v>5.43</v>
      </c>
      <c r="H328" t="s">
        <v>26</v>
      </c>
      <c r="I328">
        <v>21.72</v>
      </c>
    </row>
    <row r="329" spans="1:9" x14ac:dyDescent="0.35">
      <c r="A329">
        <v>1335</v>
      </c>
      <c r="B329" s="1">
        <v>44932</v>
      </c>
      <c r="C329" t="s">
        <v>65</v>
      </c>
      <c r="D329" t="s">
        <v>17</v>
      </c>
      <c r="E329" t="s">
        <v>15</v>
      </c>
      <c r="F329">
        <v>1</v>
      </c>
      <c r="G329">
        <v>3.5</v>
      </c>
      <c r="H329" t="s">
        <v>26</v>
      </c>
      <c r="I329">
        <v>3.5</v>
      </c>
    </row>
    <row r="330" spans="1:9" x14ac:dyDescent="0.35">
      <c r="A330">
        <v>1336</v>
      </c>
      <c r="B330" s="1">
        <v>45025</v>
      </c>
      <c r="C330" t="s">
        <v>9</v>
      </c>
      <c r="D330" t="s">
        <v>17</v>
      </c>
      <c r="E330" t="s">
        <v>24</v>
      </c>
      <c r="F330">
        <v>3</v>
      </c>
      <c r="G330">
        <v>4</v>
      </c>
      <c r="H330" t="s">
        <v>26</v>
      </c>
      <c r="I330">
        <v>12</v>
      </c>
    </row>
    <row r="331" spans="1:9" x14ac:dyDescent="0.35">
      <c r="A331">
        <v>1337</v>
      </c>
      <c r="B331" s="1">
        <v>45159</v>
      </c>
      <c r="C331" t="s">
        <v>41</v>
      </c>
      <c r="D331" t="s">
        <v>10</v>
      </c>
      <c r="E331" t="s">
        <v>24</v>
      </c>
      <c r="F331">
        <v>1</v>
      </c>
      <c r="G331">
        <v>3.44</v>
      </c>
      <c r="H331" t="s">
        <v>26</v>
      </c>
      <c r="I331">
        <v>3.44</v>
      </c>
    </row>
    <row r="332" spans="1:9" x14ac:dyDescent="0.35">
      <c r="A332">
        <v>1338</v>
      </c>
      <c r="B332" s="1">
        <v>44963</v>
      </c>
      <c r="C332" t="s">
        <v>74</v>
      </c>
      <c r="D332" t="s">
        <v>10</v>
      </c>
      <c r="E332" t="s">
        <v>24</v>
      </c>
      <c r="F332">
        <v>5</v>
      </c>
      <c r="G332">
        <v>5.26</v>
      </c>
      <c r="H332" t="s">
        <v>26</v>
      </c>
      <c r="I332">
        <v>26.3</v>
      </c>
    </row>
    <row r="333" spans="1:9" x14ac:dyDescent="0.35">
      <c r="A333">
        <v>1339</v>
      </c>
      <c r="B333" s="1">
        <v>45206</v>
      </c>
      <c r="C333" t="s">
        <v>59</v>
      </c>
      <c r="D333" t="s">
        <v>17</v>
      </c>
      <c r="E333" t="s">
        <v>24</v>
      </c>
      <c r="F333">
        <v>4</v>
      </c>
      <c r="G333">
        <v>4.51</v>
      </c>
      <c r="H333" t="s">
        <v>12</v>
      </c>
      <c r="I333">
        <v>18.04</v>
      </c>
    </row>
    <row r="334" spans="1:9" x14ac:dyDescent="0.35">
      <c r="A334">
        <v>1340</v>
      </c>
      <c r="B334" s="1">
        <v>45275</v>
      </c>
      <c r="C334" t="s">
        <v>91</v>
      </c>
      <c r="D334" t="s">
        <v>10</v>
      </c>
      <c r="E334" t="s">
        <v>24</v>
      </c>
      <c r="F334">
        <v>7</v>
      </c>
      <c r="G334">
        <v>4.8099999999999996</v>
      </c>
      <c r="H334" t="s">
        <v>26</v>
      </c>
      <c r="I334">
        <v>33.67</v>
      </c>
    </row>
    <row r="335" spans="1:9" x14ac:dyDescent="0.35">
      <c r="A335">
        <v>1341</v>
      </c>
      <c r="B335" s="1">
        <v>45228</v>
      </c>
      <c r="C335" t="s">
        <v>43</v>
      </c>
      <c r="D335" t="s">
        <v>23</v>
      </c>
      <c r="E335" t="s">
        <v>18</v>
      </c>
      <c r="F335">
        <v>5</v>
      </c>
      <c r="G335">
        <v>3.38</v>
      </c>
      <c r="H335" t="s">
        <v>26</v>
      </c>
      <c r="I335">
        <v>16.899999999999999</v>
      </c>
    </row>
    <row r="336" spans="1:9" x14ac:dyDescent="0.35">
      <c r="A336">
        <v>1342</v>
      </c>
      <c r="B336" s="1">
        <v>45107</v>
      </c>
      <c r="C336" t="s">
        <v>88</v>
      </c>
      <c r="D336" t="s">
        <v>28</v>
      </c>
      <c r="E336" t="s">
        <v>21</v>
      </c>
      <c r="F336">
        <v>4</v>
      </c>
      <c r="G336">
        <v>3.27</v>
      </c>
      <c r="H336" t="s">
        <v>26</v>
      </c>
      <c r="I336">
        <v>13.08</v>
      </c>
    </row>
    <row r="337" spans="1:9" x14ac:dyDescent="0.35">
      <c r="A337">
        <v>1343</v>
      </c>
      <c r="B337" s="1">
        <v>45021</v>
      </c>
      <c r="C337" t="s">
        <v>53</v>
      </c>
      <c r="D337" t="s">
        <v>10</v>
      </c>
      <c r="E337" t="s">
        <v>11</v>
      </c>
      <c r="F337">
        <v>2</v>
      </c>
      <c r="G337">
        <v>4.21</v>
      </c>
      <c r="H337" t="s">
        <v>102</v>
      </c>
      <c r="I337">
        <v>8.42</v>
      </c>
    </row>
    <row r="338" spans="1:9" x14ac:dyDescent="0.35">
      <c r="A338">
        <v>1344</v>
      </c>
      <c r="B338" s="1">
        <v>45025</v>
      </c>
      <c r="C338" t="s">
        <v>76</v>
      </c>
      <c r="D338" t="s">
        <v>20</v>
      </c>
      <c r="E338" t="s">
        <v>21</v>
      </c>
      <c r="F338">
        <v>4</v>
      </c>
      <c r="G338">
        <v>5.08</v>
      </c>
      <c r="H338" t="s">
        <v>26</v>
      </c>
      <c r="I338">
        <v>20.32</v>
      </c>
    </row>
    <row r="339" spans="1:9" x14ac:dyDescent="0.35">
      <c r="A339">
        <v>1345</v>
      </c>
      <c r="B339" s="1">
        <v>45114</v>
      </c>
      <c r="C339" t="s">
        <v>79</v>
      </c>
      <c r="D339" t="s">
        <v>10</v>
      </c>
      <c r="E339" t="s">
        <v>24</v>
      </c>
      <c r="F339">
        <v>2</v>
      </c>
      <c r="G339">
        <v>4.34</v>
      </c>
      <c r="H339" t="s">
        <v>26</v>
      </c>
      <c r="I339">
        <v>8.68</v>
      </c>
    </row>
    <row r="340" spans="1:9" x14ac:dyDescent="0.35">
      <c r="A340">
        <v>1346</v>
      </c>
      <c r="B340" s="1">
        <v>45042</v>
      </c>
      <c r="C340" t="s">
        <v>94</v>
      </c>
      <c r="D340" t="s">
        <v>14</v>
      </c>
      <c r="E340" t="s">
        <v>18</v>
      </c>
      <c r="F340">
        <v>8</v>
      </c>
      <c r="G340">
        <v>2.61</v>
      </c>
      <c r="H340" t="s">
        <v>26</v>
      </c>
      <c r="I340">
        <v>20.88</v>
      </c>
    </row>
    <row r="341" spans="1:9" x14ac:dyDescent="0.35">
      <c r="A341">
        <v>1347</v>
      </c>
      <c r="B341" s="1">
        <v>45117</v>
      </c>
      <c r="C341" t="s">
        <v>51</v>
      </c>
      <c r="D341" t="s">
        <v>23</v>
      </c>
      <c r="E341" t="s">
        <v>15</v>
      </c>
      <c r="F341">
        <v>3</v>
      </c>
      <c r="G341">
        <v>5.54</v>
      </c>
      <c r="H341" t="s">
        <v>26</v>
      </c>
      <c r="I341">
        <v>16.62</v>
      </c>
    </row>
    <row r="342" spans="1:9" x14ac:dyDescent="0.35">
      <c r="A342">
        <v>1348</v>
      </c>
      <c r="B342" s="1">
        <v>45179</v>
      </c>
      <c r="C342" t="s">
        <v>64</v>
      </c>
      <c r="D342" t="s">
        <v>14</v>
      </c>
      <c r="E342" t="s">
        <v>18</v>
      </c>
      <c r="F342">
        <v>9</v>
      </c>
      <c r="G342">
        <v>2.73</v>
      </c>
      <c r="H342" t="s">
        <v>12</v>
      </c>
      <c r="I342">
        <v>24.57</v>
      </c>
    </row>
    <row r="343" spans="1:9" x14ac:dyDescent="0.35">
      <c r="A343">
        <v>1349</v>
      </c>
      <c r="B343" s="1">
        <v>45087</v>
      </c>
      <c r="C343" t="s">
        <v>35</v>
      </c>
      <c r="D343" t="s">
        <v>14</v>
      </c>
      <c r="E343" t="s">
        <v>24</v>
      </c>
      <c r="F343">
        <v>4</v>
      </c>
      <c r="G343">
        <v>5.85</v>
      </c>
      <c r="H343" t="s">
        <v>26</v>
      </c>
      <c r="I343">
        <v>23.4</v>
      </c>
    </row>
    <row r="344" spans="1:9" x14ac:dyDescent="0.35">
      <c r="A344">
        <v>1350</v>
      </c>
      <c r="B344" s="1">
        <v>45182</v>
      </c>
      <c r="C344" t="s">
        <v>72</v>
      </c>
      <c r="D344" t="s">
        <v>20</v>
      </c>
      <c r="E344" t="s">
        <v>18</v>
      </c>
      <c r="F344">
        <v>6</v>
      </c>
      <c r="G344">
        <v>2.59</v>
      </c>
      <c r="H344" t="s">
        <v>26</v>
      </c>
      <c r="I344">
        <v>15.54</v>
      </c>
    </row>
    <row r="345" spans="1:9" x14ac:dyDescent="0.35">
      <c r="A345">
        <v>1351</v>
      </c>
      <c r="B345" s="1">
        <v>45249</v>
      </c>
      <c r="C345" t="s">
        <v>71</v>
      </c>
      <c r="D345" t="s">
        <v>23</v>
      </c>
      <c r="E345" t="s">
        <v>18</v>
      </c>
      <c r="F345">
        <v>5</v>
      </c>
      <c r="G345">
        <v>4.93</v>
      </c>
      <c r="H345" t="s">
        <v>26</v>
      </c>
      <c r="I345">
        <v>24.65</v>
      </c>
    </row>
    <row r="346" spans="1:9" x14ac:dyDescent="0.35">
      <c r="A346">
        <v>1352</v>
      </c>
      <c r="B346" s="1">
        <v>45054</v>
      </c>
      <c r="C346" t="s">
        <v>58</v>
      </c>
      <c r="D346" t="s">
        <v>23</v>
      </c>
      <c r="E346" t="s">
        <v>24</v>
      </c>
      <c r="F346">
        <v>1</v>
      </c>
      <c r="G346">
        <v>2.79</v>
      </c>
      <c r="H346" t="s">
        <v>26</v>
      </c>
      <c r="I346">
        <v>2.79</v>
      </c>
    </row>
    <row r="347" spans="1:9" x14ac:dyDescent="0.35">
      <c r="A347">
        <v>1353</v>
      </c>
      <c r="B347" s="1">
        <v>44944</v>
      </c>
      <c r="C347" t="s">
        <v>36</v>
      </c>
      <c r="D347" t="s">
        <v>23</v>
      </c>
      <c r="E347" t="s">
        <v>18</v>
      </c>
      <c r="F347">
        <v>9</v>
      </c>
      <c r="G347">
        <v>5.69</v>
      </c>
      <c r="H347" t="s">
        <v>12</v>
      </c>
      <c r="I347">
        <v>51.21</v>
      </c>
    </row>
    <row r="348" spans="1:9" x14ac:dyDescent="0.35">
      <c r="A348">
        <v>1354</v>
      </c>
      <c r="B348" s="1">
        <v>45207</v>
      </c>
      <c r="C348" t="s">
        <v>69</v>
      </c>
      <c r="D348" t="s">
        <v>23</v>
      </c>
      <c r="E348" t="s">
        <v>11</v>
      </c>
      <c r="F348">
        <v>1</v>
      </c>
      <c r="G348">
        <v>4.13</v>
      </c>
      <c r="H348" t="s">
        <v>12</v>
      </c>
      <c r="I348">
        <v>4.13</v>
      </c>
    </row>
    <row r="349" spans="1:9" x14ac:dyDescent="0.35">
      <c r="A349">
        <v>1355</v>
      </c>
      <c r="B349" s="1">
        <v>45149</v>
      </c>
      <c r="C349" t="s">
        <v>58</v>
      </c>
      <c r="D349" t="s">
        <v>23</v>
      </c>
      <c r="E349" t="s">
        <v>11</v>
      </c>
      <c r="F349">
        <v>8</v>
      </c>
      <c r="G349">
        <v>2.98</v>
      </c>
      <c r="H349" t="s">
        <v>12</v>
      </c>
      <c r="I349">
        <v>23.84</v>
      </c>
    </row>
    <row r="350" spans="1:9" x14ac:dyDescent="0.35">
      <c r="A350">
        <v>1356</v>
      </c>
      <c r="B350" s="1">
        <v>44980</v>
      </c>
      <c r="C350" t="s">
        <v>38</v>
      </c>
      <c r="D350" t="s">
        <v>20</v>
      </c>
      <c r="E350" t="s">
        <v>18</v>
      </c>
      <c r="F350">
        <v>9</v>
      </c>
      <c r="G350">
        <v>3.69</v>
      </c>
      <c r="H350" t="s">
        <v>12</v>
      </c>
      <c r="I350">
        <v>33.21</v>
      </c>
    </row>
    <row r="351" spans="1:9" x14ac:dyDescent="0.35">
      <c r="A351">
        <v>1357</v>
      </c>
      <c r="B351" s="1">
        <v>44984</v>
      </c>
      <c r="C351" t="s">
        <v>69</v>
      </c>
      <c r="D351" t="s">
        <v>10</v>
      </c>
      <c r="E351" t="s">
        <v>15</v>
      </c>
      <c r="F351">
        <v>9</v>
      </c>
      <c r="G351">
        <v>3.08</v>
      </c>
      <c r="H351" t="s">
        <v>12</v>
      </c>
      <c r="I351">
        <v>27.72</v>
      </c>
    </row>
    <row r="352" spans="1:9" x14ac:dyDescent="0.35">
      <c r="A352">
        <v>1358</v>
      </c>
      <c r="B352" s="1">
        <v>45249</v>
      </c>
      <c r="C352" t="s">
        <v>44</v>
      </c>
      <c r="D352" t="s">
        <v>14</v>
      </c>
      <c r="E352" t="s">
        <v>24</v>
      </c>
      <c r="F352">
        <v>1</v>
      </c>
      <c r="G352">
        <v>3.1</v>
      </c>
      <c r="H352" t="s">
        <v>12</v>
      </c>
      <c r="I352">
        <v>3.1</v>
      </c>
    </row>
    <row r="353" spans="1:9" x14ac:dyDescent="0.35">
      <c r="A353">
        <v>1359</v>
      </c>
      <c r="B353" s="1">
        <v>45286</v>
      </c>
      <c r="C353" t="s">
        <v>49</v>
      </c>
      <c r="D353" t="s">
        <v>23</v>
      </c>
      <c r="E353" t="s">
        <v>11</v>
      </c>
      <c r="F353">
        <v>2</v>
      </c>
      <c r="G353">
        <v>5.82</v>
      </c>
      <c r="H353" t="s">
        <v>12</v>
      </c>
      <c r="I353">
        <v>11.64</v>
      </c>
    </row>
    <row r="354" spans="1:9" x14ac:dyDescent="0.35">
      <c r="A354">
        <v>1360</v>
      </c>
      <c r="B354" s="1">
        <v>45100</v>
      </c>
      <c r="C354" t="s">
        <v>32</v>
      </c>
      <c r="D354" t="s">
        <v>10</v>
      </c>
      <c r="E354" t="s">
        <v>15</v>
      </c>
      <c r="F354">
        <v>1</v>
      </c>
      <c r="G354">
        <v>4.0599999999999996</v>
      </c>
      <c r="H354" t="s">
        <v>12</v>
      </c>
      <c r="I354">
        <v>4.0599999999999996</v>
      </c>
    </row>
    <row r="355" spans="1:9" x14ac:dyDescent="0.35">
      <c r="A355">
        <v>1361</v>
      </c>
      <c r="B355" s="1">
        <v>45206</v>
      </c>
      <c r="C355" t="s">
        <v>76</v>
      </c>
      <c r="D355" t="s">
        <v>10</v>
      </c>
      <c r="E355" t="s">
        <v>18</v>
      </c>
      <c r="F355">
        <v>2</v>
      </c>
      <c r="G355">
        <v>5.26</v>
      </c>
      <c r="H355" t="s">
        <v>12</v>
      </c>
      <c r="I355">
        <v>10.52</v>
      </c>
    </row>
    <row r="356" spans="1:9" x14ac:dyDescent="0.35">
      <c r="A356">
        <v>1362</v>
      </c>
      <c r="B356" s="1">
        <v>45040</v>
      </c>
      <c r="C356" t="s">
        <v>42</v>
      </c>
      <c r="D356" t="s">
        <v>14</v>
      </c>
      <c r="E356" t="s">
        <v>15</v>
      </c>
      <c r="F356">
        <v>8</v>
      </c>
      <c r="G356">
        <v>4.74</v>
      </c>
      <c r="H356" t="s">
        <v>12</v>
      </c>
      <c r="I356">
        <v>37.92</v>
      </c>
    </row>
    <row r="357" spans="1:9" x14ac:dyDescent="0.35">
      <c r="A357">
        <v>1363</v>
      </c>
      <c r="B357" s="1">
        <v>45214</v>
      </c>
      <c r="C357" t="s">
        <v>40</v>
      </c>
      <c r="D357" t="s">
        <v>20</v>
      </c>
      <c r="E357" t="s">
        <v>21</v>
      </c>
      <c r="F357">
        <v>5</v>
      </c>
      <c r="G357">
        <v>4.87</v>
      </c>
      <c r="H357" t="s">
        <v>12</v>
      </c>
      <c r="I357">
        <v>24.35</v>
      </c>
    </row>
    <row r="358" spans="1:9" x14ac:dyDescent="0.35">
      <c r="A358">
        <v>1364</v>
      </c>
      <c r="B358" s="1">
        <v>45268</v>
      </c>
      <c r="C358" t="s">
        <v>34</v>
      </c>
      <c r="D358" t="s">
        <v>17</v>
      </c>
      <c r="E358" t="s">
        <v>11</v>
      </c>
      <c r="F358">
        <v>7</v>
      </c>
      <c r="G358">
        <v>2.96</v>
      </c>
      <c r="H358" t="s">
        <v>12</v>
      </c>
      <c r="I358">
        <v>20.72</v>
      </c>
    </row>
    <row r="359" spans="1:9" x14ac:dyDescent="0.35">
      <c r="A359">
        <v>1365</v>
      </c>
      <c r="B359" s="1">
        <v>45077</v>
      </c>
      <c r="C359" t="s">
        <v>73</v>
      </c>
      <c r="D359" t="s">
        <v>17</v>
      </c>
      <c r="E359" t="s">
        <v>18</v>
      </c>
      <c r="F359">
        <v>2</v>
      </c>
      <c r="G359">
        <v>3.32</v>
      </c>
      <c r="H359" t="s">
        <v>12</v>
      </c>
      <c r="I359">
        <v>6.64</v>
      </c>
    </row>
    <row r="360" spans="1:9" x14ac:dyDescent="0.35">
      <c r="A360">
        <v>1366</v>
      </c>
      <c r="B360" s="1">
        <v>45053</v>
      </c>
      <c r="C360" t="s">
        <v>97</v>
      </c>
      <c r="D360" t="s">
        <v>10</v>
      </c>
      <c r="E360" t="s">
        <v>24</v>
      </c>
      <c r="F360">
        <v>8</v>
      </c>
      <c r="G360">
        <v>5.25</v>
      </c>
      <c r="H360" t="s">
        <v>12</v>
      </c>
      <c r="I360">
        <v>42</v>
      </c>
    </row>
    <row r="361" spans="1:9" x14ac:dyDescent="0.35">
      <c r="A361">
        <v>1367</v>
      </c>
      <c r="B361" s="1">
        <v>45081</v>
      </c>
      <c r="C361" t="s">
        <v>92</v>
      </c>
      <c r="D361" t="s">
        <v>28</v>
      </c>
      <c r="E361" t="s">
        <v>18</v>
      </c>
      <c r="F361">
        <v>6</v>
      </c>
      <c r="G361">
        <v>5.9</v>
      </c>
      <c r="H361" t="s">
        <v>12</v>
      </c>
      <c r="I361">
        <v>35.4</v>
      </c>
    </row>
    <row r="362" spans="1:9" x14ac:dyDescent="0.35">
      <c r="A362">
        <v>1368</v>
      </c>
      <c r="B362" s="1">
        <v>45199</v>
      </c>
      <c r="C362" t="s">
        <v>66</v>
      </c>
      <c r="D362" t="s">
        <v>28</v>
      </c>
      <c r="E362" t="s">
        <v>24</v>
      </c>
      <c r="F362">
        <v>8</v>
      </c>
      <c r="G362">
        <v>3.42</v>
      </c>
      <c r="H362" t="s">
        <v>12</v>
      </c>
      <c r="I362">
        <v>27.36</v>
      </c>
    </row>
    <row r="363" spans="1:9" x14ac:dyDescent="0.35">
      <c r="A363">
        <v>1369</v>
      </c>
      <c r="B363" s="1">
        <v>45030</v>
      </c>
      <c r="C363" t="s">
        <v>41</v>
      </c>
      <c r="D363" t="s">
        <v>14</v>
      </c>
      <c r="E363" t="s">
        <v>18</v>
      </c>
      <c r="F363">
        <v>1</v>
      </c>
      <c r="G363">
        <v>3.45</v>
      </c>
      <c r="H363" t="s">
        <v>26</v>
      </c>
      <c r="I363">
        <v>3.45</v>
      </c>
    </row>
    <row r="364" spans="1:9" x14ac:dyDescent="0.35">
      <c r="A364">
        <v>1370</v>
      </c>
      <c r="B364" s="1">
        <v>45225</v>
      </c>
      <c r="C364" t="s">
        <v>51</v>
      </c>
      <c r="D364" t="s">
        <v>17</v>
      </c>
      <c r="E364" t="s">
        <v>15</v>
      </c>
      <c r="F364">
        <v>1</v>
      </c>
      <c r="G364">
        <v>4.16</v>
      </c>
      <c r="H364" t="s">
        <v>12</v>
      </c>
      <c r="I364">
        <v>4.16</v>
      </c>
    </row>
    <row r="365" spans="1:9" x14ac:dyDescent="0.35">
      <c r="A365">
        <v>1371</v>
      </c>
      <c r="B365" s="1">
        <v>45172</v>
      </c>
      <c r="C365" t="s">
        <v>59</v>
      </c>
      <c r="D365" t="s">
        <v>10</v>
      </c>
      <c r="E365" t="s">
        <v>15</v>
      </c>
      <c r="F365">
        <v>7</v>
      </c>
      <c r="G365">
        <v>5.94</v>
      </c>
      <c r="H365" t="s">
        <v>26</v>
      </c>
      <c r="I365">
        <v>41.58</v>
      </c>
    </row>
    <row r="366" spans="1:9" x14ac:dyDescent="0.35">
      <c r="A366">
        <v>1372</v>
      </c>
      <c r="B366" s="1">
        <v>45102</v>
      </c>
      <c r="C366" t="s">
        <v>91</v>
      </c>
      <c r="D366" t="s">
        <v>20</v>
      </c>
      <c r="E366" t="s">
        <v>15</v>
      </c>
      <c r="F366">
        <v>8</v>
      </c>
      <c r="G366">
        <v>3.44</v>
      </c>
      <c r="H366" t="s">
        <v>12</v>
      </c>
      <c r="I366">
        <v>27.52</v>
      </c>
    </row>
    <row r="367" spans="1:9" x14ac:dyDescent="0.35">
      <c r="A367">
        <v>1373</v>
      </c>
      <c r="B367" s="1">
        <v>44965</v>
      </c>
      <c r="C367" t="s">
        <v>59</v>
      </c>
      <c r="D367" t="s">
        <v>17</v>
      </c>
      <c r="E367" t="s">
        <v>21</v>
      </c>
      <c r="F367">
        <v>3</v>
      </c>
      <c r="G367">
        <v>3.92</v>
      </c>
      <c r="H367" t="s">
        <v>12</v>
      </c>
      <c r="I367">
        <v>11.76</v>
      </c>
    </row>
    <row r="368" spans="1:9" x14ac:dyDescent="0.35">
      <c r="A368">
        <v>1374</v>
      </c>
      <c r="B368" s="1">
        <v>45096</v>
      </c>
      <c r="C368" t="s">
        <v>82</v>
      </c>
      <c r="D368" t="s">
        <v>10</v>
      </c>
      <c r="E368" t="s">
        <v>24</v>
      </c>
      <c r="F368">
        <v>5</v>
      </c>
      <c r="G368">
        <v>5.62</v>
      </c>
      <c r="H368" t="s">
        <v>26</v>
      </c>
      <c r="I368">
        <v>28.1</v>
      </c>
    </row>
    <row r="369" spans="1:9" x14ac:dyDescent="0.35">
      <c r="A369">
        <v>1375</v>
      </c>
      <c r="B369" s="1">
        <v>45173</v>
      </c>
      <c r="C369" t="s">
        <v>27</v>
      </c>
      <c r="D369" t="s">
        <v>10</v>
      </c>
      <c r="E369" t="s">
        <v>15</v>
      </c>
      <c r="F369">
        <v>1</v>
      </c>
      <c r="G369">
        <v>2.5099999999999998</v>
      </c>
      <c r="H369" t="s">
        <v>12</v>
      </c>
      <c r="I369">
        <v>2.5099999999999998</v>
      </c>
    </row>
    <row r="370" spans="1:9" x14ac:dyDescent="0.35">
      <c r="A370">
        <v>1376</v>
      </c>
      <c r="B370" s="1">
        <v>44952</v>
      </c>
      <c r="C370" t="s">
        <v>70</v>
      </c>
      <c r="D370" t="s">
        <v>23</v>
      </c>
      <c r="E370" t="s">
        <v>21</v>
      </c>
      <c r="F370">
        <v>7</v>
      </c>
      <c r="G370">
        <v>2.64</v>
      </c>
      <c r="H370" t="s">
        <v>26</v>
      </c>
      <c r="I370">
        <v>18.48</v>
      </c>
    </row>
    <row r="371" spans="1:9" x14ac:dyDescent="0.35">
      <c r="A371">
        <v>1377</v>
      </c>
      <c r="B371" s="1">
        <v>45281</v>
      </c>
      <c r="C371" t="s">
        <v>100</v>
      </c>
      <c r="D371" t="s">
        <v>20</v>
      </c>
      <c r="E371" t="s">
        <v>24</v>
      </c>
      <c r="F371">
        <v>5</v>
      </c>
      <c r="G371">
        <v>4.6100000000000003</v>
      </c>
      <c r="H371" t="s">
        <v>26</v>
      </c>
      <c r="I371">
        <v>23.05</v>
      </c>
    </row>
    <row r="372" spans="1:9" x14ac:dyDescent="0.35">
      <c r="A372">
        <v>1378</v>
      </c>
      <c r="B372" s="1">
        <v>45232</v>
      </c>
      <c r="C372" t="s">
        <v>48</v>
      </c>
      <c r="D372" t="s">
        <v>23</v>
      </c>
      <c r="E372" t="s">
        <v>18</v>
      </c>
      <c r="F372">
        <v>8</v>
      </c>
      <c r="G372">
        <v>5.68</v>
      </c>
      <c r="H372" t="s">
        <v>26</v>
      </c>
      <c r="I372">
        <v>45.44</v>
      </c>
    </row>
    <row r="373" spans="1:9" x14ac:dyDescent="0.35">
      <c r="A373">
        <v>1379</v>
      </c>
      <c r="B373" s="1">
        <v>44939</v>
      </c>
      <c r="C373" t="s">
        <v>82</v>
      </c>
      <c r="D373" t="s">
        <v>14</v>
      </c>
      <c r="E373" t="s">
        <v>21</v>
      </c>
      <c r="F373">
        <v>8</v>
      </c>
      <c r="G373">
        <v>3.34</v>
      </c>
      <c r="H373" t="s">
        <v>12</v>
      </c>
      <c r="I373">
        <v>26.72</v>
      </c>
    </row>
    <row r="374" spans="1:9" x14ac:dyDescent="0.35">
      <c r="A374">
        <v>1380</v>
      </c>
      <c r="B374" s="1">
        <v>45242</v>
      </c>
      <c r="C374" t="s">
        <v>82</v>
      </c>
      <c r="D374" t="s">
        <v>23</v>
      </c>
      <c r="E374" t="s">
        <v>11</v>
      </c>
      <c r="F374">
        <v>9</v>
      </c>
      <c r="G374">
        <v>4.1399999999999997</v>
      </c>
      <c r="H374" t="s">
        <v>12</v>
      </c>
      <c r="I374">
        <v>37.26</v>
      </c>
    </row>
    <row r="375" spans="1:9" x14ac:dyDescent="0.35">
      <c r="A375">
        <v>1381</v>
      </c>
      <c r="B375" s="1">
        <v>45239</v>
      </c>
      <c r="C375" t="s">
        <v>81</v>
      </c>
      <c r="D375" t="s">
        <v>23</v>
      </c>
      <c r="E375" t="s">
        <v>21</v>
      </c>
      <c r="F375">
        <v>7</v>
      </c>
      <c r="G375">
        <v>4.08</v>
      </c>
      <c r="H375" t="s">
        <v>12</v>
      </c>
      <c r="I375">
        <v>28.56</v>
      </c>
    </row>
    <row r="376" spans="1:9" x14ac:dyDescent="0.35">
      <c r="A376">
        <v>1382</v>
      </c>
      <c r="B376" s="1">
        <v>44962</v>
      </c>
      <c r="C376" t="s">
        <v>46</v>
      </c>
      <c r="D376" t="s">
        <v>17</v>
      </c>
      <c r="E376" t="s">
        <v>21</v>
      </c>
      <c r="F376">
        <v>1</v>
      </c>
      <c r="G376">
        <v>4.16</v>
      </c>
      <c r="H376" t="s">
        <v>26</v>
      </c>
      <c r="I376">
        <v>4.16</v>
      </c>
    </row>
    <row r="377" spans="1:9" x14ac:dyDescent="0.35">
      <c r="A377">
        <v>1383</v>
      </c>
      <c r="B377" s="1">
        <v>45099</v>
      </c>
      <c r="C377" t="s">
        <v>54</v>
      </c>
      <c r="D377" t="s">
        <v>28</v>
      </c>
      <c r="E377" t="s">
        <v>24</v>
      </c>
      <c r="F377">
        <v>3</v>
      </c>
      <c r="G377">
        <v>4.68</v>
      </c>
      <c r="H377" t="s">
        <v>26</v>
      </c>
      <c r="I377">
        <v>14.04</v>
      </c>
    </row>
    <row r="378" spans="1:9" x14ac:dyDescent="0.35">
      <c r="A378">
        <v>1384</v>
      </c>
      <c r="B378" s="1">
        <v>44946</v>
      </c>
      <c r="C378" t="s">
        <v>54</v>
      </c>
      <c r="D378" t="s">
        <v>10</v>
      </c>
      <c r="E378" t="s">
        <v>18</v>
      </c>
      <c r="F378">
        <v>8</v>
      </c>
      <c r="G378">
        <v>4.1399999999999997</v>
      </c>
      <c r="H378" t="s">
        <v>12</v>
      </c>
      <c r="I378">
        <v>33.119999999999997</v>
      </c>
    </row>
    <row r="379" spans="1:9" x14ac:dyDescent="0.35">
      <c r="A379">
        <v>1385</v>
      </c>
      <c r="B379" s="1">
        <v>45247</v>
      </c>
      <c r="C379" t="s">
        <v>16</v>
      </c>
      <c r="D379" t="s">
        <v>20</v>
      </c>
      <c r="E379" t="s">
        <v>11</v>
      </c>
      <c r="F379">
        <v>3</v>
      </c>
      <c r="G379">
        <v>4.07</v>
      </c>
      <c r="H379" t="s">
        <v>12</v>
      </c>
      <c r="I379">
        <v>12.21</v>
      </c>
    </row>
    <row r="380" spans="1:9" x14ac:dyDescent="0.35">
      <c r="A380">
        <v>1387</v>
      </c>
      <c r="B380" s="1">
        <v>45068</v>
      </c>
      <c r="C380" t="s">
        <v>62</v>
      </c>
      <c r="D380" t="s">
        <v>20</v>
      </c>
      <c r="E380" t="s">
        <v>15</v>
      </c>
      <c r="F380">
        <v>1</v>
      </c>
      <c r="G380">
        <v>4.57</v>
      </c>
      <c r="H380" t="s">
        <v>12</v>
      </c>
      <c r="I380">
        <v>4.57</v>
      </c>
    </row>
    <row r="381" spans="1:9" x14ac:dyDescent="0.35">
      <c r="A381">
        <v>1388</v>
      </c>
      <c r="B381" s="1">
        <v>45069</v>
      </c>
      <c r="C381" t="s">
        <v>88</v>
      </c>
      <c r="D381" t="s">
        <v>28</v>
      </c>
      <c r="E381" t="s">
        <v>21</v>
      </c>
      <c r="F381">
        <v>5</v>
      </c>
      <c r="G381">
        <v>4.38</v>
      </c>
      <c r="H381" t="s">
        <v>12</v>
      </c>
      <c r="I381">
        <v>21.9</v>
      </c>
    </row>
    <row r="382" spans="1:9" x14ac:dyDescent="0.35">
      <c r="A382">
        <v>1389</v>
      </c>
      <c r="B382" s="1">
        <v>45018</v>
      </c>
      <c r="C382" t="s">
        <v>83</v>
      </c>
      <c r="D382" t="s">
        <v>28</v>
      </c>
      <c r="E382" t="s">
        <v>24</v>
      </c>
      <c r="F382">
        <v>4</v>
      </c>
      <c r="G382">
        <v>5.49</v>
      </c>
      <c r="H382" t="s">
        <v>26</v>
      </c>
      <c r="I382">
        <v>21.96</v>
      </c>
    </row>
    <row r="383" spans="1:9" x14ac:dyDescent="0.35">
      <c r="A383">
        <v>1390</v>
      </c>
      <c r="B383" s="1">
        <v>45280</v>
      </c>
      <c r="C383" t="s">
        <v>34</v>
      </c>
      <c r="D383" t="s">
        <v>23</v>
      </c>
      <c r="E383" t="s">
        <v>24</v>
      </c>
      <c r="F383">
        <v>5</v>
      </c>
      <c r="G383">
        <v>2.67</v>
      </c>
      <c r="H383" t="s">
        <v>26</v>
      </c>
      <c r="I383">
        <v>13.35</v>
      </c>
    </row>
    <row r="384" spans="1:9" x14ac:dyDescent="0.35">
      <c r="A384">
        <v>1391</v>
      </c>
      <c r="B384" s="1">
        <v>45248</v>
      </c>
      <c r="C384" t="s">
        <v>47</v>
      </c>
      <c r="D384" t="s">
        <v>14</v>
      </c>
      <c r="E384" t="s">
        <v>15</v>
      </c>
      <c r="F384">
        <v>8</v>
      </c>
      <c r="G384">
        <v>5.42</v>
      </c>
      <c r="H384" t="s">
        <v>26</v>
      </c>
      <c r="I384">
        <v>43.36</v>
      </c>
    </row>
    <row r="385" spans="1:9" x14ac:dyDescent="0.35">
      <c r="A385">
        <v>1392</v>
      </c>
      <c r="B385" s="1">
        <v>45214</v>
      </c>
      <c r="C385" t="s">
        <v>16</v>
      </c>
      <c r="D385" t="s">
        <v>23</v>
      </c>
      <c r="E385" t="s">
        <v>11</v>
      </c>
      <c r="F385">
        <v>4</v>
      </c>
      <c r="G385">
        <v>5.45</v>
      </c>
      <c r="H385" t="s">
        <v>12</v>
      </c>
      <c r="I385">
        <v>21.8</v>
      </c>
    </row>
    <row r="386" spans="1:9" x14ac:dyDescent="0.35">
      <c r="A386">
        <v>1393</v>
      </c>
      <c r="B386" s="1">
        <v>45141</v>
      </c>
      <c r="C386" t="s">
        <v>92</v>
      </c>
      <c r="D386" t="s">
        <v>95</v>
      </c>
      <c r="E386" t="s">
        <v>18</v>
      </c>
      <c r="F386">
        <v>4</v>
      </c>
      <c r="G386">
        <v>3.5</v>
      </c>
      <c r="H386" t="s">
        <v>26</v>
      </c>
      <c r="I386">
        <v>14</v>
      </c>
    </row>
    <row r="387" spans="1:9" x14ac:dyDescent="0.35">
      <c r="A387">
        <v>1394</v>
      </c>
      <c r="B387" s="1">
        <v>45268</v>
      </c>
      <c r="C387" t="s">
        <v>78</v>
      </c>
      <c r="D387" t="s">
        <v>10</v>
      </c>
      <c r="E387" t="s">
        <v>11</v>
      </c>
      <c r="F387">
        <v>3</v>
      </c>
      <c r="G387">
        <v>4.12</v>
      </c>
      <c r="H387" t="s">
        <v>26</v>
      </c>
      <c r="I387">
        <v>12.36</v>
      </c>
    </row>
    <row r="388" spans="1:9" x14ac:dyDescent="0.35">
      <c r="A388">
        <v>1395</v>
      </c>
      <c r="B388" s="1">
        <v>44977</v>
      </c>
      <c r="C388" t="s">
        <v>46</v>
      </c>
      <c r="D388" t="s">
        <v>14</v>
      </c>
      <c r="E388" t="s">
        <v>18</v>
      </c>
      <c r="F388">
        <v>7</v>
      </c>
      <c r="G388">
        <v>4.03</v>
      </c>
      <c r="H388" t="s">
        <v>26</v>
      </c>
      <c r="I388">
        <v>28.21</v>
      </c>
    </row>
    <row r="389" spans="1:9" x14ac:dyDescent="0.35">
      <c r="A389">
        <v>1396</v>
      </c>
      <c r="B389" s="1">
        <v>45079</v>
      </c>
      <c r="C389" t="s">
        <v>81</v>
      </c>
      <c r="D389" t="s">
        <v>23</v>
      </c>
      <c r="E389" t="s">
        <v>15</v>
      </c>
      <c r="F389">
        <v>3</v>
      </c>
      <c r="G389">
        <v>3.26</v>
      </c>
      <c r="H389" t="s">
        <v>26</v>
      </c>
      <c r="I389">
        <v>9.7799999999999994</v>
      </c>
    </row>
    <row r="390" spans="1:9" x14ac:dyDescent="0.35">
      <c r="A390">
        <v>1397</v>
      </c>
      <c r="B390" s="1">
        <v>45112</v>
      </c>
      <c r="C390" t="s">
        <v>99</v>
      </c>
      <c r="D390" t="s">
        <v>20</v>
      </c>
      <c r="E390" t="s">
        <v>18</v>
      </c>
      <c r="F390">
        <v>3</v>
      </c>
      <c r="G390">
        <v>3.89</v>
      </c>
      <c r="H390" t="s">
        <v>26</v>
      </c>
      <c r="I390">
        <v>11.67</v>
      </c>
    </row>
    <row r="391" spans="1:9" x14ac:dyDescent="0.35">
      <c r="A391">
        <v>1398</v>
      </c>
      <c r="B391" s="1">
        <v>44989</v>
      </c>
      <c r="C391" t="s">
        <v>92</v>
      </c>
      <c r="D391" t="s">
        <v>14</v>
      </c>
      <c r="E391" t="s">
        <v>24</v>
      </c>
      <c r="F391">
        <v>5</v>
      </c>
      <c r="G391">
        <v>2.66</v>
      </c>
      <c r="H391" t="s">
        <v>12</v>
      </c>
      <c r="I391">
        <v>13.3</v>
      </c>
    </row>
    <row r="392" spans="1:9" x14ac:dyDescent="0.35">
      <c r="A392">
        <v>1399</v>
      </c>
      <c r="B392" s="1">
        <v>45116</v>
      </c>
      <c r="C392" t="s">
        <v>30</v>
      </c>
      <c r="D392" t="s">
        <v>14</v>
      </c>
      <c r="E392" t="s">
        <v>21</v>
      </c>
      <c r="F392">
        <v>5</v>
      </c>
      <c r="G392">
        <v>3.47</v>
      </c>
      <c r="H392" t="s">
        <v>26</v>
      </c>
      <c r="I392">
        <v>17.350000000000001</v>
      </c>
    </row>
    <row r="393" spans="1:9" x14ac:dyDescent="0.35">
      <c r="A393">
        <v>1400</v>
      </c>
      <c r="B393" s="1">
        <v>45051</v>
      </c>
      <c r="C393" t="s">
        <v>54</v>
      </c>
      <c r="D393" t="s">
        <v>23</v>
      </c>
      <c r="E393" t="s">
        <v>21</v>
      </c>
      <c r="F393">
        <v>6</v>
      </c>
      <c r="G393">
        <v>5.36</v>
      </c>
      <c r="H393" t="s">
        <v>12</v>
      </c>
      <c r="I393">
        <v>32.159999999999997</v>
      </c>
    </row>
    <row r="394" spans="1:9" x14ac:dyDescent="0.35">
      <c r="A394">
        <v>1401</v>
      </c>
      <c r="B394" s="1">
        <v>45076</v>
      </c>
      <c r="C394" t="s">
        <v>71</v>
      </c>
      <c r="D394" t="s">
        <v>14</v>
      </c>
      <c r="E394" t="s">
        <v>15</v>
      </c>
      <c r="F394">
        <v>8</v>
      </c>
      <c r="G394">
        <v>3.5</v>
      </c>
      <c r="H394" t="s">
        <v>12</v>
      </c>
      <c r="I394">
        <v>28</v>
      </c>
    </row>
    <row r="395" spans="1:9" x14ac:dyDescent="0.35">
      <c r="A395">
        <v>1402</v>
      </c>
      <c r="B395" s="1">
        <v>45240</v>
      </c>
      <c r="C395" t="s">
        <v>78</v>
      </c>
      <c r="D395" t="s">
        <v>20</v>
      </c>
      <c r="E395" t="s">
        <v>24</v>
      </c>
      <c r="F395">
        <v>6</v>
      </c>
      <c r="G395">
        <v>5.36</v>
      </c>
      <c r="H395" t="s">
        <v>12</v>
      </c>
      <c r="I395">
        <v>32.159999999999997</v>
      </c>
    </row>
    <row r="396" spans="1:9" x14ac:dyDescent="0.35">
      <c r="A396">
        <v>1403</v>
      </c>
      <c r="B396" s="1">
        <v>44984</v>
      </c>
      <c r="C396" t="s">
        <v>99</v>
      </c>
      <c r="D396" t="s">
        <v>28</v>
      </c>
      <c r="E396" t="s">
        <v>11</v>
      </c>
      <c r="F396">
        <v>1</v>
      </c>
      <c r="G396">
        <v>4.3600000000000003</v>
      </c>
      <c r="H396" t="s">
        <v>12</v>
      </c>
      <c r="I396">
        <v>4.3600000000000003</v>
      </c>
    </row>
    <row r="397" spans="1:9" x14ac:dyDescent="0.35">
      <c r="A397">
        <v>1404</v>
      </c>
      <c r="B397" s="1">
        <v>45268</v>
      </c>
      <c r="C397" t="s">
        <v>46</v>
      </c>
      <c r="D397" t="s">
        <v>14</v>
      </c>
      <c r="E397" t="s">
        <v>24</v>
      </c>
      <c r="F397">
        <v>8</v>
      </c>
      <c r="G397">
        <v>5.58</v>
      </c>
      <c r="H397" t="s">
        <v>12</v>
      </c>
      <c r="I397">
        <v>44.64</v>
      </c>
    </row>
    <row r="398" spans="1:9" x14ac:dyDescent="0.35">
      <c r="A398">
        <v>1405</v>
      </c>
      <c r="B398" s="1">
        <v>45231</v>
      </c>
      <c r="C398" t="s">
        <v>40</v>
      </c>
      <c r="D398" t="s">
        <v>28</v>
      </c>
      <c r="E398" t="s">
        <v>21</v>
      </c>
      <c r="F398">
        <v>8</v>
      </c>
      <c r="G398">
        <v>4.51</v>
      </c>
      <c r="H398" t="s">
        <v>26</v>
      </c>
      <c r="I398">
        <v>36.08</v>
      </c>
    </row>
    <row r="399" spans="1:9" x14ac:dyDescent="0.35">
      <c r="A399">
        <v>1406</v>
      </c>
      <c r="B399" s="1">
        <v>45106</v>
      </c>
      <c r="C399" t="s">
        <v>41</v>
      </c>
      <c r="D399" t="s">
        <v>20</v>
      </c>
      <c r="E399" t="s">
        <v>21</v>
      </c>
      <c r="F399">
        <v>9</v>
      </c>
      <c r="G399">
        <v>2.6</v>
      </c>
      <c r="H399" t="s">
        <v>26</v>
      </c>
      <c r="I399">
        <v>23.4</v>
      </c>
    </row>
    <row r="400" spans="1:9" x14ac:dyDescent="0.35">
      <c r="A400">
        <v>1407</v>
      </c>
      <c r="B400" s="1">
        <v>45096</v>
      </c>
      <c r="C400" t="s">
        <v>30</v>
      </c>
      <c r="D400" t="s">
        <v>23</v>
      </c>
      <c r="E400" t="s">
        <v>24</v>
      </c>
      <c r="F400">
        <v>9</v>
      </c>
      <c r="G400">
        <v>4.8600000000000003</v>
      </c>
      <c r="H400" t="s">
        <v>12</v>
      </c>
      <c r="I400">
        <v>43.74</v>
      </c>
    </row>
    <row r="401" spans="1:9" x14ac:dyDescent="0.35">
      <c r="A401">
        <v>1408</v>
      </c>
      <c r="B401" s="1">
        <v>45252</v>
      </c>
      <c r="C401" t="s">
        <v>80</v>
      </c>
      <c r="D401" t="s">
        <v>10</v>
      </c>
      <c r="E401" t="s">
        <v>24</v>
      </c>
      <c r="F401">
        <v>2</v>
      </c>
      <c r="G401">
        <v>2.66</v>
      </c>
      <c r="H401" t="s">
        <v>12</v>
      </c>
      <c r="I401">
        <v>5.32</v>
      </c>
    </row>
    <row r="402" spans="1:9" x14ac:dyDescent="0.35">
      <c r="A402">
        <v>1409</v>
      </c>
      <c r="B402" s="1">
        <v>45197</v>
      </c>
      <c r="C402" t="s">
        <v>36</v>
      </c>
      <c r="D402" t="s">
        <v>14</v>
      </c>
      <c r="E402" t="s">
        <v>21</v>
      </c>
      <c r="F402">
        <v>2</v>
      </c>
      <c r="G402">
        <v>4.08</v>
      </c>
      <c r="H402" t="s">
        <v>12</v>
      </c>
      <c r="I402">
        <v>8.16</v>
      </c>
    </row>
    <row r="403" spans="1:9" x14ac:dyDescent="0.35">
      <c r="A403">
        <v>1410</v>
      </c>
      <c r="B403" s="1">
        <v>44980</v>
      </c>
      <c r="C403" t="s">
        <v>75</v>
      </c>
      <c r="D403" t="s">
        <v>10</v>
      </c>
      <c r="E403" t="s">
        <v>11</v>
      </c>
      <c r="F403">
        <v>3</v>
      </c>
      <c r="G403">
        <v>5.75</v>
      </c>
      <c r="H403" t="s">
        <v>26</v>
      </c>
      <c r="I403">
        <v>17.25</v>
      </c>
    </row>
    <row r="404" spans="1:9" x14ac:dyDescent="0.35">
      <c r="A404">
        <v>1411</v>
      </c>
      <c r="B404" s="1">
        <v>45027</v>
      </c>
      <c r="C404" t="s">
        <v>82</v>
      </c>
      <c r="D404" t="s">
        <v>20</v>
      </c>
      <c r="E404" t="s">
        <v>15</v>
      </c>
      <c r="F404">
        <v>1</v>
      </c>
      <c r="G404">
        <v>3.08</v>
      </c>
      <c r="H404" t="s">
        <v>12</v>
      </c>
      <c r="I404">
        <v>3.08</v>
      </c>
    </row>
    <row r="405" spans="1:9" x14ac:dyDescent="0.35">
      <c r="A405">
        <v>1412</v>
      </c>
      <c r="B405" s="1">
        <v>45190</v>
      </c>
      <c r="C405" t="s">
        <v>41</v>
      </c>
      <c r="D405" t="s">
        <v>14</v>
      </c>
      <c r="E405" t="s">
        <v>15</v>
      </c>
      <c r="F405">
        <v>4</v>
      </c>
      <c r="G405">
        <v>3.86</v>
      </c>
      <c r="H405" t="s">
        <v>26</v>
      </c>
      <c r="I405">
        <v>15.44</v>
      </c>
    </row>
    <row r="406" spans="1:9" x14ac:dyDescent="0.35">
      <c r="A406">
        <v>1413</v>
      </c>
      <c r="B406" s="1">
        <v>44979</v>
      </c>
      <c r="C406" t="s">
        <v>44</v>
      </c>
      <c r="D406" t="s">
        <v>28</v>
      </c>
      <c r="E406" t="s">
        <v>24</v>
      </c>
      <c r="F406">
        <v>4</v>
      </c>
      <c r="G406">
        <v>5.05</v>
      </c>
      <c r="H406" t="s">
        <v>12</v>
      </c>
      <c r="I406">
        <v>20.2</v>
      </c>
    </row>
    <row r="407" spans="1:9" x14ac:dyDescent="0.35">
      <c r="A407">
        <v>1414</v>
      </c>
      <c r="B407" s="1">
        <v>44986</v>
      </c>
      <c r="C407" t="s">
        <v>60</v>
      </c>
      <c r="D407" t="s">
        <v>17</v>
      </c>
      <c r="E407" t="s">
        <v>15</v>
      </c>
      <c r="F407">
        <v>9</v>
      </c>
      <c r="G407">
        <v>5.59</v>
      </c>
      <c r="H407" t="s">
        <v>26</v>
      </c>
      <c r="I407">
        <v>50.31</v>
      </c>
    </row>
    <row r="408" spans="1:9" x14ac:dyDescent="0.35">
      <c r="A408">
        <v>1415</v>
      </c>
      <c r="B408" s="1">
        <v>45034</v>
      </c>
      <c r="C408" t="s">
        <v>85</v>
      </c>
      <c r="D408" t="s">
        <v>10</v>
      </c>
      <c r="E408" t="s">
        <v>21</v>
      </c>
      <c r="F408">
        <v>9</v>
      </c>
      <c r="G408">
        <v>4.8499999999999996</v>
      </c>
      <c r="H408" t="s">
        <v>12</v>
      </c>
      <c r="I408">
        <v>43.65</v>
      </c>
    </row>
    <row r="409" spans="1:9" x14ac:dyDescent="0.35">
      <c r="A409">
        <v>1416</v>
      </c>
      <c r="B409" s="1">
        <v>44931</v>
      </c>
      <c r="C409" t="s">
        <v>19</v>
      </c>
      <c r="D409" t="s">
        <v>14</v>
      </c>
      <c r="E409" t="s">
        <v>21</v>
      </c>
      <c r="F409">
        <v>9</v>
      </c>
      <c r="G409">
        <v>3.4</v>
      </c>
      <c r="H409" t="s">
        <v>26</v>
      </c>
      <c r="I409">
        <v>30.6</v>
      </c>
    </row>
    <row r="410" spans="1:9" x14ac:dyDescent="0.35">
      <c r="A410">
        <v>1417</v>
      </c>
      <c r="B410" s="1">
        <v>45029</v>
      </c>
      <c r="C410" t="s">
        <v>93</v>
      </c>
      <c r="D410" t="s">
        <v>10</v>
      </c>
      <c r="E410" t="s">
        <v>24</v>
      </c>
      <c r="F410">
        <v>7</v>
      </c>
      <c r="G410">
        <v>4.8600000000000003</v>
      </c>
      <c r="H410" t="s">
        <v>12</v>
      </c>
      <c r="I410">
        <v>34.020000000000003</v>
      </c>
    </row>
    <row r="411" spans="1:9" x14ac:dyDescent="0.35">
      <c r="A411">
        <v>1418</v>
      </c>
      <c r="B411" s="1">
        <v>45122</v>
      </c>
      <c r="C411" t="s">
        <v>87</v>
      </c>
      <c r="D411" t="s">
        <v>14</v>
      </c>
      <c r="E411" t="s">
        <v>24</v>
      </c>
      <c r="F411">
        <v>2</v>
      </c>
      <c r="G411">
        <v>3.54</v>
      </c>
      <c r="H411" t="s">
        <v>26</v>
      </c>
      <c r="I411">
        <v>7.08</v>
      </c>
    </row>
    <row r="412" spans="1:9" x14ac:dyDescent="0.35">
      <c r="A412">
        <v>1419</v>
      </c>
      <c r="B412" s="1">
        <v>45188</v>
      </c>
      <c r="C412" t="s">
        <v>74</v>
      </c>
      <c r="D412" t="s">
        <v>23</v>
      </c>
      <c r="E412" t="s">
        <v>24</v>
      </c>
      <c r="F412">
        <v>5</v>
      </c>
      <c r="G412">
        <v>5.01</v>
      </c>
      <c r="H412" t="s">
        <v>26</v>
      </c>
      <c r="I412">
        <v>25.05</v>
      </c>
    </row>
    <row r="413" spans="1:9" x14ac:dyDescent="0.35">
      <c r="A413">
        <v>1420</v>
      </c>
      <c r="B413" s="1">
        <v>45291</v>
      </c>
      <c r="C413" t="s">
        <v>51</v>
      </c>
      <c r="D413" t="s">
        <v>28</v>
      </c>
      <c r="E413" t="s">
        <v>11</v>
      </c>
      <c r="F413">
        <v>4</v>
      </c>
      <c r="G413">
        <v>5.84</v>
      </c>
      <c r="H413" t="s">
        <v>26</v>
      </c>
      <c r="I413">
        <v>23.36</v>
      </c>
    </row>
    <row r="414" spans="1:9" x14ac:dyDescent="0.35">
      <c r="A414">
        <v>1421</v>
      </c>
      <c r="B414" s="1">
        <v>45276</v>
      </c>
      <c r="C414" t="s">
        <v>79</v>
      </c>
      <c r="D414" t="s">
        <v>10</v>
      </c>
      <c r="E414" t="s">
        <v>15</v>
      </c>
      <c r="F414">
        <v>8</v>
      </c>
      <c r="G414">
        <v>5.0199999999999996</v>
      </c>
      <c r="H414" t="s">
        <v>26</v>
      </c>
      <c r="I414">
        <v>40.159999999999997</v>
      </c>
    </row>
    <row r="415" spans="1:9" x14ac:dyDescent="0.35">
      <c r="A415">
        <v>1422</v>
      </c>
      <c r="B415" s="1">
        <v>44973</v>
      </c>
      <c r="C415" t="s">
        <v>55</v>
      </c>
      <c r="D415" t="s">
        <v>17</v>
      </c>
      <c r="E415" t="s">
        <v>24</v>
      </c>
      <c r="F415">
        <v>2</v>
      </c>
      <c r="G415">
        <v>5.52</v>
      </c>
      <c r="H415" t="s">
        <v>26</v>
      </c>
      <c r="I415">
        <v>11.04</v>
      </c>
    </row>
    <row r="416" spans="1:9" x14ac:dyDescent="0.35">
      <c r="A416">
        <v>1423</v>
      </c>
      <c r="B416" s="1">
        <v>45281</v>
      </c>
      <c r="C416" t="s">
        <v>98</v>
      </c>
      <c r="D416" t="s">
        <v>17</v>
      </c>
      <c r="E416" t="s">
        <v>18</v>
      </c>
      <c r="F416">
        <v>6</v>
      </c>
      <c r="G416">
        <v>2.5099999999999998</v>
      </c>
      <c r="H416" t="s">
        <v>26</v>
      </c>
      <c r="I416">
        <v>15.06</v>
      </c>
    </row>
    <row r="417" spans="1:9" x14ac:dyDescent="0.35">
      <c r="A417">
        <v>1424</v>
      </c>
      <c r="B417" s="1">
        <v>45237</v>
      </c>
      <c r="C417" t="s">
        <v>89</v>
      </c>
      <c r="D417" t="s">
        <v>20</v>
      </c>
      <c r="E417" t="s">
        <v>18</v>
      </c>
      <c r="F417">
        <v>5</v>
      </c>
      <c r="G417">
        <v>5.01</v>
      </c>
      <c r="H417" t="s">
        <v>26</v>
      </c>
      <c r="I417">
        <v>25.05</v>
      </c>
    </row>
    <row r="418" spans="1:9" x14ac:dyDescent="0.35">
      <c r="A418">
        <v>1425</v>
      </c>
      <c r="B418" s="1">
        <v>45234</v>
      </c>
      <c r="C418" t="s">
        <v>88</v>
      </c>
      <c r="D418" t="s">
        <v>14</v>
      </c>
      <c r="E418" t="s">
        <v>21</v>
      </c>
      <c r="F418">
        <v>2</v>
      </c>
      <c r="G418">
        <v>5.4</v>
      </c>
      <c r="H418" t="s">
        <v>12</v>
      </c>
      <c r="I418">
        <v>10.8</v>
      </c>
    </row>
    <row r="419" spans="1:9" x14ac:dyDescent="0.35">
      <c r="A419">
        <v>1426</v>
      </c>
      <c r="B419" s="1">
        <v>45070</v>
      </c>
      <c r="C419" t="s">
        <v>27</v>
      </c>
      <c r="D419" t="s">
        <v>10</v>
      </c>
      <c r="E419" t="s">
        <v>15</v>
      </c>
      <c r="F419">
        <v>1</v>
      </c>
      <c r="G419">
        <v>2.64</v>
      </c>
      <c r="H419" t="s">
        <v>12</v>
      </c>
      <c r="I419">
        <v>2.64</v>
      </c>
    </row>
    <row r="420" spans="1:9" x14ac:dyDescent="0.35">
      <c r="A420">
        <v>1427</v>
      </c>
      <c r="B420" s="1">
        <v>45195</v>
      </c>
      <c r="C420" t="s">
        <v>92</v>
      </c>
      <c r="D420" t="s">
        <v>20</v>
      </c>
      <c r="E420" t="s">
        <v>24</v>
      </c>
      <c r="F420">
        <v>8</v>
      </c>
      <c r="G420">
        <v>5.55</v>
      </c>
      <c r="H420" t="s">
        <v>12</v>
      </c>
      <c r="I420">
        <v>44.4</v>
      </c>
    </row>
    <row r="421" spans="1:9" x14ac:dyDescent="0.35">
      <c r="A421">
        <v>1428</v>
      </c>
      <c r="B421" s="1">
        <v>45050</v>
      </c>
      <c r="C421" t="s">
        <v>22</v>
      </c>
      <c r="D421" t="s">
        <v>10</v>
      </c>
      <c r="E421" t="s">
        <v>18</v>
      </c>
      <c r="F421">
        <v>2</v>
      </c>
      <c r="G421">
        <v>3.4</v>
      </c>
      <c r="H421" t="s">
        <v>12</v>
      </c>
      <c r="I421">
        <v>6.8</v>
      </c>
    </row>
    <row r="422" spans="1:9" x14ac:dyDescent="0.35">
      <c r="A422">
        <v>1429</v>
      </c>
      <c r="B422" s="1">
        <v>45032</v>
      </c>
      <c r="C422" t="s">
        <v>49</v>
      </c>
      <c r="D422" t="s">
        <v>14</v>
      </c>
      <c r="E422" t="s">
        <v>15</v>
      </c>
      <c r="F422">
        <v>7</v>
      </c>
      <c r="G422">
        <v>4.83</v>
      </c>
      <c r="H422" t="s">
        <v>12</v>
      </c>
      <c r="I422">
        <v>33.81</v>
      </c>
    </row>
    <row r="423" spans="1:9" x14ac:dyDescent="0.35">
      <c r="A423">
        <v>1430</v>
      </c>
      <c r="B423" s="1">
        <v>45084</v>
      </c>
      <c r="C423" t="s">
        <v>75</v>
      </c>
      <c r="D423" t="s">
        <v>17</v>
      </c>
      <c r="E423" t="s">
        <v>21</v>
      </c>
      <c r="F423">
        <v>9</v>
      </c>
      <c r="G423">
        <v>5.3</v>
      </c>
      <c r="H423" t="s">
        <v>26</v>
      </c>
      <c r="I423">
        <v>47.7</v>
      </c>
    </row>
    <row r="424" spans="1:9" x14ac:dyDescent="0.35">
      <c r="A424">
        <v>1431</v>
      </c>
      <c r="B424" s="1">
        <v>45073</v>
      </c>
      <c r="C424" t="s">
        <v>53</v>
      </c>
      <c r="D424" t="s">
        <v>23</v>
      </c>
      <c r="E424" t="s">
        <v>11</v>
      </c>
      <c r="F424">
        <v>9</v>
      </c>
      <c r="G424">
        <v>4.82</v>
      </c>
      <c r="H424" t="s">
        <v>26</v>
      </c>
      <c r="I424">
        <v>43.38</v>
      </c>
    </row>
    <row r="425" spans="1:9" x14ac:dyDescent="0.35">
      <c r="A425">
        <v>1432</v>
      </c>
      <c r="B425" s="1">
        <v>45071</v>
      </c>
      <c r="C425" t="s">
        <v>49</v>
      </c>
      <c r="D425" t="s">
        <v>17</v>
      </c>
      <c r="E425" t="s">
        <v>15</v>
      </c>
      <c r="F425">
        <v>8</v>
      </c>
      <c r="G425">
        <v>2.82</v>
      </c>
      <c r="H425" t="s">
        <v>26</v>
      </c>
      <c r="I425">
        <v>22.56</v>
      </c>
    </row>
    <row r="426" spans="1:9" x14ac:dyDescent="0.35">
      <c r="A426">
        <v>1433</v>
      </c>
      <c r="B426" s="1">
        <v>45046</v>
      </c>
      <c r="C426" t="s">
        <v>36</v>
      </c>
      <c r="D426" t="s">
        <v>20</v>
      </c>
      <c r="E426" t="s">
        <v>15</v>
      </c>
      <c r="F426">
        <v>9</v>
      </c>
      <c r="G426">
        <v>4.59</v>
      </c>
      <c r="H426" t="s">
        <v>26</v>
      </c>
      <c r="I426">
        <v>41.31</v>
      </c>
    </row>
    <row r="427" spans="1:9" x14ac:dyDescent="0.35">
      <c r="A427">
        <v>1434</v>
      </c>
      <c r="B427" s="1">
        <v>45245</v>
      </c>
      <c r="C427" t="s">
        <v>9</v>
      </c>
      <c r="D427" t="s">
        <v>28</v>
      </c>
      <c r="E427" t="s">
        <v>11</v>
      </c>
      <c r="F427">
        <v>2</v>
      </c>
      <c r="G427">
        <v>4.42</v>
      </c>
      <c r="H427" t="s">
        <v>26</v>
      </c>
      <c r="I427">
        <v>8.84</v>
      </c>
    </row>
    <row r="428" spans="1:9" x14ac:dyDescent="0.35">
      <c r="A428">
        <v>1435</v>
      </c>
      <c r="B428" s="1">
        <v>45201</v>
      </c>
      <c r="C428" t="s">
        <v>38</v>
      </c>
      <c r="D428" t="s">
        <v>23</v>
      </c>
      <c r="E428" t="s">
        <v>15</v>
      </c>
      <c r="F428">
        <v>6</v>
      </c>
      <c r="G428">
        <v>5.65</v>
      </c>
      <c r="H428" t="s">
        <v>12</v>
      </c>
      <c r="I428">
        <v>33.9</v>
      </c>
    </row>
    <row r="429" spans="1:9" x14ac:dyDescent="0.35">
      <c r="A429">
        <v>1436</v>
      </c>
      <c r="B429" s="1">
        <v>45018</v>
      </c>
      <c r="C429" t="s">
        <v>34</v>
      </c>
      <c r="D429" t="s">
        <v>20</v>
      </c>
      <c r="E429" t="s">
        <v>21</v>
      </c>
      <c r="F429">
        <v>4</v>
      </c>
      <c r="G429">
        <v>3.91</v>
      </c>
      <c r="H429" t="s">
        <v>12</v>
      </c>
      <c r="I429">
        <v>15.64</v>
      </c>
    </row>
    <row r="430" spans="1:9" x14ac:dyDescent="0.35">
      <c r="A430">
        <v>1437</v>
      </c>
      <c r="B430" s="1">
        <v>44984</v>
      </c>
      <c r="C430" t="s">
        <v>9</v>
      </c>
      <c r="D430" t="s">
        <v>14</v>
      </c>
      <c r="E430" t="s">
        <v>21</v>
      </c>
      <c r="F430">
        <v>4</v>
      </c>
      <c r="G430">
        <v>3.62</v>
      </c>
      <c r="H430" t="s">
        <v>12</v>
      </c>
      <c r="I430">
        <v>14.48</v>
      </c>
    </row>
    <row r="431" spans="1:9" x14ac:dyDescent="0.35">
      <c r="A431">
        <v>1438</v>
      </c>
      <c r="B431" s="1">
        <v>45272</v>
      </c>
      <c r="C431" t="s">
        <v>33</v>
      </c>
      <c r="D431" t="s">
        <v>23</v>
      </c>
      <c r="E431" t="s">
        <v>11</v>
      </c>
      <c r="F431">
        <v>5</v>
      </c>
      <c r="G431">
        <v>5.12</v>
      </c>
      <c r="H431" t="s">
        <v>12</v>
      </c>
      <c r="I431">
        <v>25.6</v>
      </c>
    </row>
    <row r="432" spans="1:9" x14ac:dyDescent="0.35">
      <c r="A432">
        <v>1439</v>
      </c>
      <c r="B432" s="1">
        <v>45155</v>
      </c>
      <c r="C432" t="s">
        <v>90</v>
      </c>
      <c r="D432" t="s">
        <v>20</v>
      </c>
      <c r="E432" t="s">
        <v>24</v>
      </c>
      <c r="F432">
        <v>3</v>
      </c>
      <c r="G432">
        <v>3.94</v>
      </c>
      <c r="H432" t="s">
        <v>26</v>
      </c>
      <c r="I432">
        <v>11.82</v>
      </c>
    </row>
    <row r="433" spans="1:9" x14ac:dyDescent="0.35">
      <c r="A433">
        <v>1441</v>
      </c>
      <c r="B433" s="1">
        <v>45244</v>
      </c>
      <c r="C433" t="s">
        <v>58</v>
      </c>
      <c r="D433" t="s">
        <v>17</v>
      </c>
      <c r="E433" t="s">
        <v>24</v>
      </c>
      <c r="F433">
        <v>8</v>
      </c>
      <c r="G433">
        <v>4.76</v>
      </c>
      <c r="H433" t="s">
        <v>26</v>
      </c>
      <c r="I433">
        <v>38.08</v>
      </c>
    </row>
    <row r="434" spans="1:9" x14ac:dyDescent="0.35">
      <c r="A434">
        <v>1442</v>
      </c>
      <c r="B434" s="1">
        <v>45205</v>
      </c>
      <c r="C434" t="s">
        <v>62</v>
      </c>
      <c r="D434" t="s">
        <v>28</v>
      </c>
      <c r="E434" t="s">
        <v>15</v>
      </c>
      <c r="F434">
        <v>5</v>
      </c>
      <c r="G434">
        <v>5.61</v>
      </c>
      <c r="H434" t="s">
        <v>12</v>
      </c>
      <c r="I434">
        <v>28.05</v>
      </c>
    </row>
    <row r="435" spans="1:9" x14ac:dyDescent="0.35">
      <c r="A435">
        <v>1443</v>
      </c>
      <c r="B435" s="1">
        <v>45053</v>
      </c>
      <c r="C435" t="s">
        <v>46</v>
      </c>
      <c r="D435" t="s">
        <v>14</v>
      </c>
      <c r="E435" t="s">
        <v>18</v>
      </c>
      <c r="F435">
        <v>3</v>
      </c>
      <c r="G435">
        <v>4.5999999999999996</v>
      </c>
      <c r="H435" t="s">
        <v>26</v>
      </c>
      <c r="I435">
        <v>13.8</v>
      </c>
    </row>
    <row r="436" spans="1:9" x14ac:dyDescent="0.35">
      <c r="A436">
        <v>1444</v>
      </c>
      <c r="B436" s="1">
        <v>45055</v>
      </c>
      <c r="C436" t="s">
        <v>94</v>
      </c>
      <c r="D436" t="s">
        <v>10</v>
      </c>
      <c r="E436" t="s">
        <v>11</v>
      </c>
      <c r="F436">
        <v>7</v>
      </c>
      <c r="G436">
        <v>4.26</v>
      </c>
      <c r="H436" t="s">
        <v>12</v>
      </c>
      <c r="I436">
        <v>29.82</v>
      </c>
    </row>
    <row r="437" spans="1:9" x14ac:dyDescent="0.35">
      <c r="A437">
        <v>1445</v>
      </c>
      <c r="B437" s="1">
        <v>44984</v>
      </c>
      <c r="C437" t="s">
        <v>16</v>
      </c>
      <c r="D437" t="s">
        <v>14</v>
      </c>
      <c r="E437" t="s">
        <v>11</v>
      </c>
      <c r="F437">
        <v>7</v>
      </c>
      <c r="G437">
        <v>2.99</v>
      </c>
      <c r="H437" t="s">
        <v>26</v>
      </c>
      <c r="I437">
        <v>20.93</v>
      </c>
    </row>
    <row r="438" spans="1:9" x14ac:dyDescent="0.35">
      <c r="A438">
        <v>1446</v>
      </c>
      <c r="B438" s="1">
        <v>45048</v>
      </c>
      <c r="C438" t="s">
        <v>79</v>
      </c>
      <c r="D438" t="s">
        <v>14</v>
      </c>
      <c r="E438" t="s">
        <v>18</v>
      </c>
      <c r="F438">
        <v>1</v>
      </c>
      <c r="G438">
        <v>2.91</v>
      </c>
      <c r="H438" t="s">
        <v>26</v>
      </c>
      <c r="I438">
        <v>2.91</v>
      </c>
    </row>
    <row r="439" spans="1:9" x14ac:dyDescent="0.35">
      <c r="A439">
        <v>1447</v>
      </c>
      <c r="B439" s="1">
        <v>44927</v>
      </c>
      <c r="C439" t="s">
        <v>25</v>
      </c>
      <c r="D439" t="s">
        <v>28</v>
      </c>
      <c r="E439" t="s">
        <v>21</v>
      </c>
      <c r="F439">
        <v>9</v>
      </c>
      <c r="G439">
        <v>3.04</v>
      </c>
      <c r="H439" t="s">
        <v>12</v>
      </c>
      <c r="I439">
        <v>27.36</v>
      </c>
    </row>
    <row r="440" spans="1:9" x14ac:dyDescent="0.35">
      <c r="A440">
        <v>1448</v>
      </c>
      <c r="B440" s="1">
        <v>45165</v>
      </c>
      <c r="C440" t="s">
        <v>52</v>
      </c>
      <c r="D440" t="s">
        <v>10</v>
      </c>
      <c r="E440" t="s">
        <v>18</v>
      </c>
      <c r="F440">
        <v>2</v>
      </c>
      <c r="G440">
        <v>3.1</v>
      </c>
      <c r="H440" t="s">
        <v>26</v>
      </c>
      <c r="I440">
        <v>6.2</v>
      </c>
    </row>
    <row r="441" spans="1:9" x14ac:dyDescent="0.35">
      <c r="A441">
        <v>1449</v>
      </c>
      <c r="B441" s="1">
        <v>45216</v>
      </c>
      <c r="C441" t="s">
        <v>68</v>
      </c>
      <c r="D441" t="s">
        <v>20</v>
      </c>
      <c r="E441" t="s">
        <v>15</v>
      </c>
      <c r="F441">
        <v>5</v>
      </c>
      <c r="G441">
        <v>4.7300000000000004</v>
      </c>
      <c r="H441" t="s">
        <v>26</v>
      </c>
      <c r="I441">
        <v>23.65</v>
      </c>
    </row>
    <row r="442" spans="1:9" x14ac:dyDescent="0.35">
      <c r="A442">
        <v>1450</v>
      </c>
      <c r="B442" s="1">
        <v>45022</v>
      </c>
      <c r="C442" t="s">
        <v>54</v>
      </c>
      <c r="D442" t="s">
        <v>20</v>
      </c>
      <c r="E442" t="s">
        <v>21</v>
      </c>
      <c r="F442">
        <v>5</v>
      </c>
      <c r="G442">
        <v>5.09</v>
      </c>
      <c r="H442" t="s">
        <v>12</v>
      </c>
      <c r="I442">
        <v>25.45</v>
      </c>
    </row>
    <row r="443" spans="1:9" x14ac:dyDescent="0.35">
      <c r="A443">
        <v>1451</v>
      </c>
      <c r="B443" s="1">
        <v>45052</v>
      </c>
      <c r="C443" t="s">
        <v>96</v>
      </c>
      <c r="D443" t="s">
        <v>14</v>
      </c>
      <c r="E443" t="s">
        <v>11</v>
      </c>
      <c r="F443">
        <v>8</v>
      </c>
      <c r="G443">
        <v>4.3499999999999996</v>
      </c>
      <c r="H443" t="s">
        <v>26</v>
      </c>
      <c r="I443">
        <v>34.799999999999997</v>
      </c>
    </row>
    <row r="444" spans="1:9" x14ac:dyDescent="0.35">
      <c r="A444">
        <v>1452</v>
      </c>
      <c r="B444" s="1">
        <v>45044</v>
      </c>
      <c r="C444" t="s">
        <v>22</v>
      </c>
      <c r="D444" t="s">
        <v>10</v>
      </c>
      <c r="E444" t="s">
        <v>18</v>
      </c>
      <c r="F444">
        <v>8</v>
      </c>
      <c r="G444">
        <v>5.4</v>
      </c>
      <c r="H444" t="s">
        <v>12</v>
      </c>
      <c r="I444">
        <v>43.2</v>
      </c>
    </row>
    <row r="445" spans="1:9" x14ac:dyDescent="0.35">
      <c r="A445">
        <v>1453</v>
      </c>
      <c r="B445" s="1">
        <v>44974</v>
      </c>
      <c r="C445" t="s">
        <v>65</v>
      </c>
      <c r="D445" t="s">
        <v>10</v>
      </c>
      <c r="E445" t="s">
        <v>24</v>
      </c>
      <c r="F445">
        <v>7</v>
      </c>
      <c r="G445">
        <v>5.97</v>
      </c>
      <c r="H445" t="s">
        <v>26</v>
      </c>
      <c r="I445">
        <v>41.79</v>
      </c>
    </row>
    <row r="446" spans="1:9" x14ac:dyDescent="0.35">
      <c r="A446">
        <v>1454</v>
      </c>
      <c r="B446" s="1">
        <v>45015</v>
      </c>
      <c r="C446" t="s">
        <v>46</v>
      </c>
      <c r="D446" t="s">
        <v>28</v>
      </c>
      <c r="E446" t="s">
        <v>24</v>
      </c>
      <c r="F446">
        <v>7</v>
      </c>
      <c r="G446">
        <v>5.37</v>
      </c>
      <c r="H446" t="s">
        <v>26</v>
      </c>
      <c r="I446">
        <v>37.590000000000003</v>
      </c>
    </row>
    <row r="447" spans="1:9" x14ac:dyDescent="0.35">
      <c r="A447">
        <v>1455</v>
      </c>
      <c r="B447" s="1">
        <v>45163</v>
      </c>
      <c r="C447" t="s">
        <v>62</v>
      </c>
      <c r="D447" t="s">
        <v>17</v>
      </c>
      <c r="E447" t="s">
        <v>15</v>
      </c>
      <c r="F447">
        <v>6</v>
      </c>
      <c r="G447">
        <v>4.93</v>
      </c>
      <c r="H447" t="s">
        <v>26</v>
      </c>
      <c r="I447">
        <v>29.58</v>
      </c>
    </row>
    <row r="448" spans="1:9" x14ac:dyDescent="0.35">
      <c r="A448">
        <v>1456</v>
      </c>
      <c r="B448" s="1">
        <v>45198</v>
      </c>
      <c r="C448" t="s">
        <v>42</v>
      </c>
      <c r="D448" t="s">
        <v>20</v>
      </c>
      <c r="E448" t="s">
        <v>24</v>
      </c>
      <c r="F448">
        <v>6</v>
      </c>
      <c r="G448">
        <v>4.3600000000000003</v>
      </c>
      <c r="H448" t="s">
        <v>26</v>
      </c>
      <c r="I448">
        <v>26.16</v>
      </c>
    </row>
    <row r="449" spans="1:9" x14ac:dyDescent="0.35">
      <c r="A449">
        <v>1457</v>
      </c>
      <c r="B449" s="1">
        <v>45115</v>
      </c>
      <c r="C449" t="s">
        <v>61</v>
      </c>
      <c r="D449" t="s">
        <v>28</v>
      </c>
      <c r="E449" t="s">
        <v>18</v>
      </c>
      <c r="F449">
        <v>9</v>
      </c>
      <c r="G449">
        <v>4.07</v>
      </c>
      <c r="H449" t="s">
        <v>26</v>
      </c>
      <c r="I449">
        <v>36.630000000000003</v>
      </c>
    </row>
    <row r="450" spans="1:9" x14ac:dyDescent="0.35">
      <c r="A450">
        <v>1458</v>
      </c>
      <c r="B450" s="1">
        <v>45118</v>
      </c>
      <c r="C450" t="s">
        <v>25</v>
      </c>
      <c r="D450" t="s">
        <v>23</v>
      </c>
      <c r="E450" t="s">
        <v>18</v>
      </c>
      <c r="F450">
        <v>6</v>
      </c>
      <c r="G450">
        <v>2.8</v>
      </c>
      <c r="H450" t="s">
        <v>26</v>
      </c>
      <c r="I450">
        <v>16.8</v>
      </c>
    </row>
    <row r="451" spans="1:9" x14ac:dyDescent="0.35">
      <c r="A451">
        <v>1460</v>
      </c>
      <c r="B451" s="1">
        <v>45204</v>
      </c>
      <c r="C451" t="s">
        <v>34</v>
      </c>
      <c r="D451" t="s">
        <v>28</v>
      </c>
      <c r="E451" t="s">
        <v>18</v>
      </c>
      <c r="F451">
        <v>2</v>
      </c>
      <c r="G451">
        <v>5.69</v>
      </c>
      <c r="H451" t="s">
        <v>26</v>
      </c>
      <c r="I451">
        <v>11.38</v>
      </c>
    </row>
    <row r="452" spans="1:9" x14ac:dyDescent="0.35">
      <c r="A452">
        <v>1461</v>
      </c>
      <c r="B452" s="1">
        <v>45275</v>
      </c>
      <c r="C452" t="s">
        <v>51</v>
      </c>
      <c r="D452" t="s">
        <v>20</v>
      </c>
      <c r="E452" t="s">
        <v>15</v>
      </c>
      <c r="F452">
        <v>5</v>
      </c>
      <c r="G452">
        <v>5.33</v>
      </c>
      <c r="H452" t="s">
        <v>12</v>
      </c>
      <c r="I452">
        <v>26.65</v>
      </c>
    </row>
    <row r="453" spans="1:9" x14ac:dyDescent="0.35">
      <c r="A453">
        <v>1462</v>
      </c>
      <c r="B453" s="1">
        <v>45173</v>
      </c>
      <c r="C453" t="s">
        <v>100</v>
      </c>
      <c r="D453" t="s">
        <v>17</v>
      </c>
      <c r="E453" t="s">
        <v>21</v>
      </c>
      <c r="F453">
        <v>4</v>
      </c>
      <c r="G453">
        <v>3.26</v>
      </c>
      <c r="H453" t="s">
        <v>12</v>
      </c>
      <c r="I453">
        <v>13.04</v>
      </c>
    </row>
    <row r="454" spans="1:9" x14ac:dyDescent="0.35">
      <c r="A454">
        <v>1463</v>
      </c>
      <c r="B454" s="1">
        <v>45002</v>
      </c>
      <c r="C454" t="s">
        <v>96</v>
      </c>
      <c r="D454" t="s">
        <v>23</v>
      </c>
      <c r="E454" t="s">
        <v>15</v>
      </c>
      <c r="F454">
        <v>2</v>
      </c>
      <c r="G454">
        <v>4.13</v>
      </c>
      <c r="H454" t="s">
        <v>26</v>
      </c>
      <c r="I454">
        <v>8.26</v>
      </c>
    </row>
    <row r="455" spans="1:9" x14ac:dyDescent="0.35">
      <c r="A455">
        <v>1464</v>
      </c>
      <c r="B455" s="1">
        <v>45080</v>
      </c>
      <c r="C455" t="s">
        <v>51</v>
      </c>
      <c r="D455" t="s">
        <v>17</v>
      </c>
      <c r="E455" t="s">
        <v>15</v>
      </c>
      <c r="F455">
        <v>3</v>
      </c>
      <c r="G455">
        <v>5.36</v>
      </c>
      <c r="H455" t="s">
        <v>26</v>
      </c>
      <c r="I455">
        <v>16.079999999999998</v>
      </c>
    </row>
    <row r="456" spans="1:9" x14ac:dyDescent="0.35">
      <c r="A456">
        <v>1465</v>
      </c>
      <c r="B456" s="1">
        <v>45070</v>
      </c>
      <c r="C456" t="s">
        <v>86</v>
      </c>
      <c r="D456" t="s">
        <v>23</v>
      </c>
      <c r="E456" t="s">
        <v>18</v>
      </c>
      <c r="F456">
        <v>7</v>
      </c>
      <c r="G456">
        <v>2.74</v>
      </c>
      <c r="H456" t="s">
        <v>12</v>
      </c>
      <c r="I456">
        <v>19.18</v>
      </c>
    </row>
    <row r="457" spans="1:9" x14ac:dyDescent="0.35">
      <c r="A457">
        <v>1466</v>
      </c>
      <c r="B457" s="1">
        <v>45012</v>
      </c>
      <c r="C457" t="s">
        <v>98</v>
      </c>
      <c r="D457" t="s">
        <v>14</v>
      </c>
      <c r="E457" t="s">
        <v>21</v>
      </c>
      <c r="F457">
        <v>8</v>
      </c>
      <c r="G457">
        <v>3.86</v>
      </c>
      <c r="H457" t="s">
        <v>26</v>
      </c>
      <c r="I457">
        <v>30.88</v>
      </c>
    </row>
    <row r="458" spans="1:9" x14ac:dyDescent="0.35">
      <c r="A458">
        <v>1467</v>
      </c>
      <c r="B458" s="1">
        <v>45111</v>
      </c>
      <c r="C458" t="s">
        <v>74</v>
      </c>
      <c r="D458" t="s">
        <v>28</v>
      </c>
      <c r="E458" t="s">
        <v>18</v>
      </c>
      <c r="F458">
        <v>6</v>
      </c>
      <c r="G458">
        <v>5.48</v>
      </c>
      <c r="H458" t="s">
        <v>26</v>
      </c>
      <c r="I458">
        <v>32.880000000000003</v>
      </c>
    </row>
    <row r="459" spans="1:9" x14ac:dyDescent="0.35">
      <c r="A459">
        <v>1468</v>
      </c>
      <c r="B459" s="1">
        <v>45211</v>
      </c>
      <c r="C459" t="s">
        <v>96</v>
      </c>
      <c r="D459" t="s">
        <v>23</v>
      </c>
      <c r="E459" t="s">
        <v>11</v>
      </c>
      <c r="F459">
        <v>5</v>
      </c>
      <c r="G459">
        <v>3.91</v>
      </c>
      <c r="H459" t="s">
        <v>12</v>
      </c>
      <c r="I459">
        <v>19.55</v>
      </c>
    </row>
    <row r="460" spans="1:9" x14ac:dyDescent="0.35">
      <c r="A460">
        <v>1469</v>
      </c>
      <c r="B460" s="1">
        <v>45146</v>
      </c>
      <c r="C460" t="s">
        <v>57</v>
      </c>
      <c r="D460" t="s">
        <v>17</v>
      </c>
      <c r="E460" t="s">
        <v>18</v>
      </c>
      <c r="F460">
        <v>1</v>
      </c>
      <c r="G460">
        <v>2.77</v>
      </c>
      <c r="H460" t="s">
        <v>26</v>
      </c>
      <c r="I460">
        <v>2.77</v>
      </c>
    </row>
    <row r="461" spans="1:9" x14ac:dyDescent="0.35">
      <c r="A461">
        <v>1470</v>
      </c>
      <c r="B461" s="1">
        <v>44995</v>
      </c>
      <c r="C461" t="s">
        <v>25</v>
      </c>
      <c r="D461" t="s">
        <v>20</v>
      </c>
      <c r="E461" t="s">
        <v>18</v>
      </c>
      <c r="F461">
        <v>8</v>
      </c>
      <c r="G461">
        <v>4.4000000000000004</v>
      </c>
      <c r="H461" t="s">
        <v>102</v>
      </c>
      <c r="I461">
        <v>35.200000000000003</v>
      </c>
    </row>
    <row r="462" spans="1:9" x14ac:dyDescent="0.35">
      <c r="A462">
        <v>1471</v>
      </c>
      <c r="B462" s="1">
        <v>44973</v>
      </c>
      <c r="C462" t="s">
        <v>55</v>
      </c>
      <c r="D462" t="s">
        <v>23</v>
      </c>
      <c r="E462" t="s">
        <v>18</v>
      </c>
      <c r="F462">
        <v>3</v>
      </c>
      <c r="G462">
        <v>5.52</v>
      </c>
      <c r="H462" t="s">
        <v>12</v>
      </c>
      <c r="I462">
        <v>16.559999999999999</v>
      </c>
    </row>
    <row r="463" spans="1:9" x14ac:dyDescent="0.35">
      <c r="A463">
        <v>1472</v>
      </c>
      <c r="B463" s="1">
        <v>45020</v>
      </c>
      <c r="C463" t="s">
        <v>75</v>
      </c>
      <c r="D463" t="s">
        <v>28</v>
      </c>
      <c r="E463" t="s">
        <v>21</v>
      </c>
      <c r="F463">
        <v>6</v>
      </c>
      <c r="G463">
        <v>4.57</v>
      </c>
      <c r="H463" t="s">
        <v>26</v>
      </c>
      <c r="I463">
        <v>27.42</v>
      </c>
    </row>
    <row r="464" spans="1:9" x14ac:dyDescent="0.35">
      <c r="A464">
        <v>1473</v>
      </c>
      <c r="B464" s="1">
        <v>45164</v>
      </c>
      <c r="C464" t="s">
        <v>65</v>
      </c>
      <c r="D464" t="s">
        <v>23</v>
      </c>
      <c r="E464" t="s">
        <v>18</v>
      </c>
      <c r="F464">
        <v>3</v>
      </c>
      <c r="G464">
        <v>3.29</v>
      </c>
      <c r="H464" t="s">
        <v>26</v>
      </c>
      <c r="I464">
        <v>9.8699999999999992</v>
      </c>
    </row>
    <row r="465" spans="1:9" x14ac:dyDescent="0.35">
      <c r="A465">
        <v>1474</v>
      </c>
      <c r="B465" s="1">
        <v>45130</v>
      </c>
      <c r="C465" t="s">
        <v>41</v>
      </c>
      <c r="D465" t="s">
        <v>10</v>
      </c>
      <c r="E465" t="s">
        <v>21</v>
      </c>
      <c r="F465">
        <v>7</v>
      </c>
      <c r="G465">
        <v>3.84</v>
      </c>
      <c r="H465" t="s">
        <v>12</v>
      </c>
      <c r="I465">
        <v>26.88</v>
      </c>
    </row>
    <row r="466" spans="1:9" x14ac:dyDescent="0.35">
      <c r="A466">
        <v>1475</v>
      </c>
      <c r="B466" s="1">
        <v>45144</v>
      </c>
      <c r="C466" t="s">
        <v>54</v>
      </c>
      <c r="D466" t="s">
        <v>20</v>
      </c>
      <c r="E466" t="s">
        <v>24</v>
      </c>
      <c r="F466">
        <v>7</v>
      </c>
      <c r="G466">
        <v>4.08</v>
      </c>
      <c r="H466" t="s">
        <v>26</v>
      </c>
      <c r="I466">
        <v>28.56</v>
      </c>
    </row>
    <row r="467" spans="1:9" x14ac:dyDescent="0.35">
      <c r="A467">
        <v>1476</v>
      </c>
      <c r="B467" s="1">
        <v>45267</v>
      </c>
      <c r="C467" t="s">
        <v>81</v>
      </c>
      <c r="D467" t="s">
        <v>28</v>
      </c>
      <c r="E467" t="s">
        <v>11</v>
      </c>
      <c r="F467">
        <v>9</v>
      </c>
      <c r="G467">
        <v>4.53</v>
      </c>
      <c r="H467" t="s">
        <v>12</v>
      </c>
      <c r="I467">
        <v>40.770000000000003</v>
      </c>
    </row>
    <row r="468" spans="1:9" x14ac:dyDescent="0.35">
      <c r="A468">
        <v>1477</v>
      </c>
      <c r="B468" s="1">
        <v>44965</v>
      </c>
      <c r="C468" t="s">
        <v>73</v>
      </c>
      <c r="D468" t="s">
        <v>28</v>
      </c>
      <c r="E468" t="s">
        <v>21</v>
      </c>
      <c r="F468">
        <v>5</v>
      </c>
      <c r="G468">
        <v>5.16</v>
      </c>
      <c r="H468" t="s">
        <v>26</v>
      </c>
      <c r="I468">
        <v>25.8</v>
      </c>
    </row>
    <row r="469" spans="1:9" x14ac:dyDescent="0.35">
      <c r="A469">
        <v>1478</v>
      </c>
      <c r="B469" s="1">
        <v>45026</v>
      </c>
      <c r="C469" t="s">
        <v>76</v>
      </c>
      <c r="D469" t="s">
        <v>14</v>
      </c>
      <c r="E469" t="s">
        <v>24</v>
      </c>
      <c r="F469">
        <v>8</v>
      </c>
      <c r="G469">
        <v>2.85</v>
      </c>
      <c r="H469" t="s">
        <v>26</v>
      </c>
      <c r="I469">
        <v>22.8</v>
      </c>
    </row>
    <row r="470" spans="1:9" x14ac:dyDescent="0.35">
      <c r="A470">
        <v>1479</v>
      </c>
      <c r="B470" s="1">
        <v>45215</v>
      </c>
      <c r="C470" t="s">
        <v>34</v>
      </c>
      <c r="D470" t="s">
        <v>17</v>
      </c>
      <c r="E470" t="s">
        <v>21</v>
      </c>
      <c r="F470">
        <v>8</v>
      </c>
      <c r="G470">
        <v>5.61</v>
      </c>
      <c r="H470" t="s">
        <v>12</v>
      </c>
      <c r="I470">
        <v>44.88</v>
      </c>
    </row>
    <row r="471" spans="1:9" x14ac:dyDescent="0.35">
      <c r="A471">
        <v>1480</v>
      </c>
      <c r="B471" s="1">
        <v>45180</v>
      </c>
      <c r="C471" t="s">
        <v>86</v>
      </c>
      <c r="D471" t="s">
        <v>14</v>
      </c>
      <c r="E471" t="s">
        <v>21</v>
      </c>
      <c r="F471">
        <v>1</v>
      </c>
      <c r="G471">
        <v>2.54</v>
      </c>
      <c r="H471" t="s">
        <v>12</v>
      </c>
      <c r="I471">
        <v>2.54</v>
      </c>
    </row>
    <row r="472" spans="1:9" x14ac:dyDescent="0.35">
      <c r="A472">
        <v>1481</v>
      </c>
      <c r="B472" s="1">
        <v>45148</v>
      </c>
      <c r="C472" t="s">
        <v>72</v>
      </c>
      <c r="D472" t="s">
        <v>28</v>
      </c>
      <c r="E472" t="s">
        <v>11</v>
      </c>
      <c r="F472">
        <v>5</v>
      </c>
      <c r="G472">
        <v>3.8</v>
      </c>
      <c r="H472" t="s">
        <v>102</v>
      </c>
      <c r="I472">
        <v>19</v>
      </c>
    </row>
    <row r="473" spans="1:9" x14ac:dyDescent="0.35">
      <c r="A473">
        <v>1482</v>
      </c>
      <c r="B473" s="1">
        <v>45283</v>
      </c>
      <c r="C473" t="s">
        <v>74</v>
      </c>
      <c r="D473" t="s">
        <v>20</v>
      </c>
      <c r="E473" t="s">
        <v>15</v>
      </c>
      <c r="F473">
        <v>3</v>
      </c>
      <c r="G473">
        <v>2.6</v>
      </c>
      <c r="H473" t="s">
        <v>12</v>
      </c>
      <c r="I473">
        <v>7.8</v>
      </c>
    </row>
    <row r="474" spans="1:9" x14ac:dyDescent="0.35">
      <c r="A474">
        <v>1483</v>
      </c>
      <c r="B474" s="1">
        <v>44949</v>
      </c>
      <c r="C474" t="s">
        <v>13</v>
      </c>
      <c r="D474" t="s">
        <v>23</v>
      </c>
      <c r="E474" t="s">
        <v>15</v>
      </c>
      <c r="F474">
        <v>1</v>
      </c>
      <c r="G474">
        <v>3.88</v>
      </c>
      <c r="H474" t="s">
        <v>12</v>
      </c>
      <c r="I474">
        <v>3.88</v>
      </c>
    </row>
    <row r="475" spans="1:9" x14ac:dyDescent="0.35">
      <c r="A475">
        <v>1484</v>
      </c>
      <c r="B475" s="1">
        <v>45176</v>
      </c>
      <c r="C475" t="s">
        <v>30</v>
      </c>
      <c r="D475" t="s">
        <v>23</v>
      </c>
      <c r="E475" t="s">
        <v>21</v>
      </c>
      <c r="F475">
        <v>4</v>
      </c>
      <c r="G475">
        <v>4.34</v>
      </c>
      <c r="H475" t="s">
        <v>26</v>
      </c>
      <c r="I475">
        <v>17.36</v>
      </c>
    </row>
    <row r="476" spans="1:9" x14ac:dyDescent="0.35">
      <c r="A476">
        <v>1485</v>
      </c>
      <c r="B476" s="1">
        <v>44936</v>
      </c>
      <c r="C476" t="s">
        <v>79</v>
      </c>
      <c r="D476" t="s">
        <v>20</v>
      </c>
      <c r="E476" t="s">
        <v>18</v>
      </c>
      <c r="F476">
        <v>8</v>
      </c>
      <c r="G476">
        <v>4.29</v>
      </c>
      <c r="H476" t="s">
        <v>26</v>
      </c>
      <c r="I476">
        <v>34.32</v>
      </c>
    </row>
    <row r="477" spans="1:9" x14ac:dyDescent="0.35">
      <c r="A477">
        <v>1486</v>
      </c>
      <c r="B477" s="1">
        <v>45172</v>
      </c>
      <c r="C477" t="s">
        <v>53</v>
      </c>
      <c r="D477" t="s">
        <v>28</v>
      </c>
      <c r="E477" t="s">
        <v>24</v>
      </c>
      <c r="F477">
        <v>3</v>
      </c>
      <c r="G477">
        <v>3.08</v>
      </c>
      <c r="H477" t="s">
        <v>26</v>
      </c>
      <c r="I477">
        <v>9.24</v>
      </c>
    </row>
    <row r="478" spans="1:9" x14ac:dyDescent="0.35">
      <c r="A478">
        <v>1487</v>
      </c>
      <c r="B478" s="1">
        <v>45251</v>
      </c>
      <c r="C478" t="s">
        <v>90</v>
      </c>
      <c r="D478" t="s">
        <v>23</v>
      </c>
      <c r="E478" t="s">
        <v>18</v>
      </c>
      <c r="F478">
        <v>2</v>
      </c>
      <c r="G478">
        <v>4.76</v>
      </c>
      <c r="H478" t="s">
        <v>12</v>
      </c>
      <c r="I478">
        <v>9.52</v>
      </c>
    </row>
    <row r="479" spans="1:9" x14ac:dyDescent="0.35">
      <c r="A479">
        <v>1488</v>
      </c>
      <c r="B479" s="1">
        <v>45026</v>
      </c>
      <c r="C479" t="s">
        <v>94</v>
      </c>
      <c r="D479" t="s">
        <v>23</v>
      </c>
      <c r="E479" t="s">
        <v>18</v>
      </c>
      <c r="F479">
        <v>9</v>
      </c>
      <c r="G479">
        <v>2.66</v>
      </c>
      <c r="H479" t="s">
        <v>12</v>
      </c>
      <c r="I479">
        <v>23.94</v>
      </c>
    </row>
    <row r="480" spans="1:9" x14ac:dyDescent="0.35">
      <c r="A480">
        <v>1489</v>
      </c>
      <c r="B480" s="1">
        <v>45216</v>
      </c>
      <c r="C480" t="s">
        <v>69</v>
      </c>
      <c r="D480" t="s">
        <v>23</v>
      </c>
      <c r="E480" t="s">
        <v>21</v>
      </c>
      <c r="F480">
        <v>5</v>
      </c>
      <c r="G480">
        <v>5.17</v>
      </c>
      <c r="H480" t="s">
        <v>12</v>
      </c>
      <c r="I480">
        <v>25.85</v>
      </c>
    </row>
    <row r="481" spans="1:9" x14ac:dyDescent="0.35">
      <c r="A481">
        <v>1490</v>
      </c>
      <c r="B481" s="1">
        <v>45106</v>
      </c>
      <c r="C481" t="s">
        <v>58</v>
      </c>
      <c r="D481" t="s">
        <v>17</v>
      </c>
      <c r="E481" t="s">
        <v>21</v>
      </c>
      <c r="F481">
        <v>7</v>
      </c>
      <c r="G481">
        <v>5.81</v>
      </c>
      <c r="H481" t="s">
        <v>12</v>
      </c>
      <c r="I481">
        <v>40.67</v>
      </c>
    </row>
    <row r="482" spans="1:9" x14ac:dyDescent="0.35">
      <c r="A482">
        <v>1491</v>
      </c>
      <c r="B482" s="1">
        <v>45149</v>
      </c>
      <c r="C482" t="s">
        <v>78</v>
      </c>
      <c r="D482" t="s">
        <v>17</v>
      </c>
      <c r="E482" t="s">
        <v>21</v>
      </c>
      <c r="F482">
        <v>2</v>
      </c>
      <c r="G482">
        <v>3.69</v>
      </c>
      <c r="H482" t="s">
        <v>26</v>
      </c>
      <c r="I482">
        <v>7.38</v>
      </c>
    </row>
    <row r="483" spans="1:9" x14ac:dyDescent="0.35">
      <c r="A483">
        <v>1492</v>
      </c>
      <c r="B483" s="1">
        <v>45176</v>
      </c>
      <c r="C483" t="s">
        <v>65</v>
      </c>
      <c r="D483" t="s">
        <v>10</v>
      </c>
      <c r="E483" t="s">
        <v>21</v>
      </c>
      <c r="F483">
        <v>9</v>
      </c>
      <c r="G483">
        <v>4.3099999999999996</v>
      </c>
      <c r="H483" t="s">
        <v>12</v>
      </c>
      <c r="I483">
        <v>38.79</v>
      </c>
    </row>
    <row r="484" spans="1:9" x14ac:dyDescent="0.35">
      <c r="A484">
        <v>1493</v>
      </c>
      <c r="B484" s="1">
        <v>45073</v>
      </c>
      <c r="C484" t="s">
        <v>70</v>
      </c>
      <c r="D484" t="s">
        <v>14</v>
      </c>
      <c r="E484" t="s">
        <v>15</v>
      </c>
      <c r="F484">
        <v>9</v>
      </c>
      <c r="G484">
        <v>3.83</v>
      </c>
      <c r="H484" t="s">
        <v>26</v>
      </c>
      <c r="I484">
        <v>34.47</v>
      </c>
    </row>
    <row r="485" spans="1:9" x14ac:dyDescent="0.35">
      <c r="A485">
        <v>1494</v>
      </c>
      <c r="B485" s="1">
        <v>45022</v>
      </c>
      <c r="C485" t="s">
        <v>30</v>
      </c>
      <c r="D485" t="s">
        <v>20</v>
      </c>
      <c r="E485" t="s">
        <v>21</v>
      </c>
      <c r="F485">
        <v>4</v>
      </c>
      <c r="G485">
        <v>2.52</v>
      </c>
      <c r="H485" t="s">
        <v>12</v>
      </c>
      <c r="I485">
        <v>10.08</v>
      </c>
    </row>
    <row r="486" spans="1:9" x14ac:dyDescent="0.35">
      <c r="A486">
        <v>1495</v>
      </c>
      <c r="B486" s="1">
        <v>45183</v>
      </c>
      <c r="C486" t="s">
        <v>72</v>
      </c>
      <c r="D486" t="s">
        <v>20</v>
      </c>
      <c r="E486" t="s">
        <v>15</v>
      </c>
      <c r="F486">
        <v>4</v>
      </c>
      <c r="G486">
        <v>3.85</v>
      </c>
      <c r="H486" t="s">
        <v>26</v>
      </c>
      <c r="I486">
        <v>15.4</v>
      </c>
    </row>
    <row r="487" spans="1:9" x14ac:dyDescent="0.35">
      <c r="A487">
        <v>1496</v>
      </c>
      <c r="B487" s="1">
        <v>45251</v>
      </c>
      <c r="C487" t="s">
        <v>30</v>
      </c>
      <c r="D487" t="s">
        <v>20</v>
      </c>
      <c r="E487" t="s">
        <v>15</v>
      </c>
      <c r="F487">
        <v>6</v>
      </c>
      <c r="G487">
        <v>5.27</v>
      </c>
      <c r="H487" t="s">
        <v>26</v>
      </c>
      <c r="I487">
        <v>31.62</v>
      </c>
    </row>
    <row r="488" spans="1:9" x14ac:dyDescent="0.35">
      <c r="A488">
        <v>1497</v>
      </c>
      <c r="B488" s="1">
        <v>44930</v>
      </c>
      <c r="C488" t="s">
        <v>82</v>
      </c>
      <c r="D488" t="s">
        <v>10</v>
      </c>
      <c r="E488" t="s">
        <v>21</v>
      </c>
      <c r="F488">
        <v>6</v>
      </c>
      <c r="G488">
        <v>4.59</v>
      </c>
      <c r="H488" t="s">
        <v>26</v>
      </c>
      <c r="I488">
        <v>27.54</v>
      </c>
    </row>
    <row r="489" spans="1:9" x14ac:dyDescent="0.35">
      <c r="A489">
        <v>1498</v>
      </c>
      <c r="B489" s="1">
        <v>44942</v>
      </c>
      <c r="C489" t="s">
        <v>92</v>
      </c>
      <c r="D489" t="s">
        <v>17</v>
      </c>
      <c r="E489" t="s">
        <v>11</v>
      </c>
      <c r="F489">
        <v>1</v>
      </c>
      <c r="G489">
        <v>2.85</v>
      </c>
      <c r="H489" t="s">
        <v>12</v>
      </c>
      <c r="I489">
        <v>2.85</v>
      </c>
    </row>
    <row r="490" spans="1:9" x14ac:dyDescent="0.35">
      <c r="A490">
        <v>1499</v>
      </c>
      <c r="B490" s="1">
        <v>45206</v>
      </c>
      <c r="C490" t="s">
        <v>32</v>
      </c>
      <c r="D490" t="s">
        <v>28</v>
      </c>
      <c r="E490" t="s">
        <v>24</v>
      </c>
      <c r="F490">
        <v>9</v>
      </c>
      <c r="G490">
        <v>5.46</v>
      </c>
      <c r="H490" t="s">
        <v>26</v>
      </c>
      <c r="I490">
        <v>49.14</v>
      </c>
    </row>
    <row r="491" spans="1:9" x14ac:dyDescent="0.35">
      <c r="A491">
        <v>1500</v>
      </c>
      <c r="B491" s="1">
        <v>45262</v>
      </c>
      <c r="C491" t="s">
        <v>43</v>
      </c>
      <c r="D491" t="s">
        <v>28</v>
      </c>
      <c r="E491" t="s">
        <v>18</v>
      </c>
      <c r="F491">
        <v>2</v>
      </c>
      <c r="G491">
        <v>4.3600000000000003</v>
      </c>
      <c r="H491" t="s">
        <v>26</v>
      </c>
      <c r="I491">
        <v>8.7200000000000006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B33AD-C615-4A06-AB61-67E14028D1C2}">
  <dimension ref="B3:W546"/>
  <sheetViews>
    <sheetView topLeftCell="P125" zoomScale="70" zoomScaleNormal="70" workbookViewId="0">
      <selection activeCell="S136" sqref="S136"/>
    </sheetView>
  </sheetViews>
  <sheetFormatPr defaultRowHeight="14.5" x14ac:dyDescent="0.35"/>
  <cols>
    <col min="2" max="2" width="18.26953125" bestFit="1" customWidth="1"/>
    <col min="3" max="3" width="17.90625" bestFit="1" customWidth="1"/>
    <col min="4" max="6" width="16.54296875" bestFit="1" customWidth="1"/>
    <col min="7" max="7" width="17.90625" bestFit="1" customWidth="1"/>
    <col min="8" max="8" width="6.90625" bestFit="1" customWidth="1"/>
    <col min="9" max="9" width="7.36328125" bestFit="1" customWidth="1"/>
    <col min="10" max="11" width="8.90625" bestFit="1" customWidth="1"/>
    <col min="12" max="12" width="16.54296875" bestFit="1" customWidth="1"/>
    <col min="13" max="13" width="13.36328125" bestFit="1" customWidth="1"/>
    <col min="14" max="14" width="8.90625" customWidth="1"/>
    <col min="15" max="16" width="6.36328125" bestFit="1" customWidth="1"/>
    <col min="17" max="18" width="7.36328125" bestFit="1" customWidth="1"/>
    <col min="19" max="19" width="13.36328125" bestFit="1" customWidth="1"/>
    <col min="20" max="20" width="16.54296875" bestFit="1" customWidth="1"/>
    <col min="21" max="21" width="15.6328125" bestFit="1" customWidth="1"/>
    <col min="22" max="22" width="16.54296875" bestFit="1" customWidth="1"/>
    <col min="23" max="23" width="15.6328125" bestFit="1" customWidth="1"/>
    <col min="24" max="28" width="7.36328125" bestFit="1" customWidth="1"/>
    <col min="29" max="29" width="10.81640625" bestFit="1" customWidth="1"/>
    <col min="30" max="30" width="7.453125" bestFit="1" customWidth="1"/>
    <col min="31" max="34" width="6.36328125" bestFit="1" customWidth="1"/>
    <col min="35" max="38" width="7.36328125" bestFit="1" customWidth="1"/>
    <col min="39" max="39" width="10.1796875" bestFit="1" customWidth="1"/>
    <col min="40" max="48" width="7.26953125" bestFit="1" customWidth="1"/>
    <col min="49" max="49" width="6.36328125" bestFit="1" customWidth="1"/>
    <col min="50" max="50" width="16.36328125" bestFit="1" customWidth="1"/>
    <col min="51" max="51" width="13.54296875" bestFit="1" customWidth="1"/>
    <col min="52" max="52" width="6.36328125" bestFit="1" customWidth="1"/>
    <col min="53" max="53" width="16.36328125" bestFit="1" customWidth="1"/>
    <col min="54" max="54" width="13.54296875" bestFit="1" customWidth="1"/>
    <col min="55" max="55" width="6.36328125" bestFit="1" customWidth="1"/>
    <col min="56" max="56" width="16.36328125" bestFit="1" customWidth="1"/>
    <col min="57" max="57" width="13.54296875" bestFit="1" customWidth="1"/>
    <col min="58" max="58" width="16.36328125" bestFit="1" customWidth="1"/>
    <col min="59" max="59" width="13.54296875" bestFit="1" customWidth="1"/>
    <col min="60" max="60" width="6.36328125" bestFit="1" customWidth="1"/>
    <col min="61" max="61" width="16.36328125" bestFit="1" customWidth="1"/>
    <col min="62" max="62" width="13.54296875" bestFit="1" customWidth="1"/>
    <col min="63" max="63" width="6.36328125" bestFit="1" customWidth="1"/>
    <col min="64" max="64" width="16.36328125" bestFit="1" customWidth="1"/>
    <col min="65" max="65" width="13.54296875" bestFit="1" customWidth="1"/>
    <col min="66" max="66" width="6.36328125" bestFit="1" customWidth="1"/>
    <col min="67" max="67" width="16.36328125" bestFit="1" customWidth="1"/>
    <col min="68" max="68" width="13.54296875" bestFit="1" customWidth="1"/>
    <col min="69" max="69" width="6.36328125" bestFit="1" customWidth="1"/>
    <col min="70" max="70" width="16.36328125" bestFit="1" customWidth="1"/>
    <col min="71" max="71" width="13.54296875" bestFit="1" customWidth="1"/>
    <col min="72" max="72" width="6.36328125" bestFit="1" customWidth="1"/>
    <col min="73" max="73" width="16.36328125" bestFit="1" customWidth="1"/>
    <col min="74" max="74" width="13.54296875" bestFit="1" customWidth="1"/>
    <col min="75" max="75" width="6.36328125" bestFit="1" customWidth="1"/>
    <col min="76" max="76" width="16.36328125" bestFit="1" customWidth="1"/>
    <col min="77" max="77" width="12.54296875" bestFit="1" customWidth="1"/>
    <col min="78" max="78" width="6.36328125" bestFit="1" customWidth="1"/>
    <col min="79" max="79" width="15.36328125" bestFit="1" customWidth="1"/>
    <col min="80" max="80" width="13.54296875" bestFit="1" customWidth="1"/>
    <col min="81" max="81" width="5.7265625" bestFit="1" customWidth="1"/>
    <col min="82" max="82" width="16.36328125" bestFit="1" customWidth="1"/>
    <col min="83" max="83" width="13.54296875" bestFit="1" customWidth="1"/>
    <col min="84" max="84" width="6.36328125" bestFit="1" customWidth="1"/>
    <col min="85" max="85" width="16.36328125" bestFit="1" customWidth="1"/>
    <col min="86" max="86" width="13.54296875" bestFit="1" customWidth="1"/>
    <col min="87" max="87" width="6.36328125" bestFit="1" customWidth="1"/>
    <col min="88" max="88" width="16.36328125" bestFit="1" customWidth="1"/>
    <col min="89" max="89" width="13.54296875" bestFit="1" customWidth="1"/>
    <col min="90" max="90" width="7.36328125" bestFit="1" customWidth="1"/>
    <col min="91" max="91" width="16.36328125" bestFit="1" customWidth="1"/>
    <col min="92" max="92" width="13.54296875" bestFit="1" customWidth="1"/>
    <col min="93" max="93" width="7.36328125" bestFit="1" customWidth="1"/>
    <col min="94" max="94" width="16.36328125" bestFit="1" customWidth="1"/>
    <col min="95" max="95" width="13.54296875" bestFit="1" customWidth="1"/>
    <col min="96" max="96" width="6.36328125" bestFit="1" customWidth="1"/>
    <col min="97" max="97" width="16.36328125" bestFit="1" customWidth="1"/>
    <col min="98" max="98" width="13.54296875" bestFit="1" customWidth="1"/>
    <col min="99" max="99" width="7.36328125" bestFit="1" customWidth="1"/>
    <col min="100" max="100" width="16.36328125" bestFit="1" customWidth="1"/>
    <col min="101" max="101" width="13.54296875" bestFit="1" customWidth="1"/>
    <col min="102" max="102" width="6.36328125" bestFit="1" customWidth="1"/>
    <col min="103" max="103" width="16.36328125" bestFit="1" customWidth="1"/>
    <col min="104" max="104" width="13.54296875" bestFit="1" customWidth="1"/>
    <col min="105" max="105" width="6.36328125" bestFit="1" customWidth="1"/>
    <col min="106" max="106" width="16.36328125" bestFit="1" customWidth="1"/>
    <col min="107" max="107" width="13.54296875" bestFit="1" customWidth="1"/>
    <col min="108" max="108" width="16.36328125" bestFit="1" customWidth="1"/>
    <col min="109" max="109" width="12.54296875" bestFit="1" customWidth="1"/>
    <col min="110" max="110" width="7.36328125" bestFit="1" customWidth="1"/>
    <col min="111" max="111" width="15.36328125" bestFit="1" customWidth="1"/>
    <col min="112" max="112" width="13.54296875" bestFit="1" customWidth="1"/>
    <col min="113" max="113" width="6.36328125" bestFit="1" customWidth="1"/>
    <col min="114" max="114" width="16.36328125" bestFit="1" customWidth="1"/>
    <col min="115" max="115" width="13.54296875" bestFit="1" customWidth="1"/>
    <col min="116" max="116" width="6.36328125" bestFit="1" customWidth="1"/>
    <col min="117" max="117" width="16.36328125" bestFit="1" customWidth="1"/>
    <col min="118" max="118" width="13.54296875" bestFit="1" customWidth="1"/>
    <col min="119" max="119" width="6.36328125" bestFit="1" customWidth="1"/>
    <col min="120" max="120" width="16.36328125" bestFit="1" customWidth="1"/>
    <col min="121" max="121" width="13.54296875" bestFit="1" customWidth="1"/>
    <col min="122" max="122" width="5.7265625" bestFit="1" customWidth="1"/>
    <col min="123" max="123" width="16.36328125" bestFit="1" customWidth="1"/>
    <col min="124" max="124" width="13.54296875" bestFit="1" customWidth="1"/>
    <col min="125" max="125" width="6.36328125" bestFit="1" customWidth="1"/>
    <col min="126" max="126" width="16.36328125" bestFit="1" customWidth="1"/>
    <col min="127" max="127" width="13.54296875" bestFit="1" customWidth="1"/>
    <col min="128" max="128" width="7.36328125" bestFit="1" customWidth="1"/>
    <col min="129" max="129" width="16.36328125" bestFit="1" customWidth="1"/>
    <col min="130" max="130" width="13.54296875" bestFit="1" customWidth="1"/>
    <col min="131" max="131" width="6.36328125" bestFit="1" customWidth="1"/>
    <col min="132" max="132" width="16.36328125" bestFit="1" customWidth="1"/>
    <col min="133" max="133" width="13.54296875" bestFit="1" customWidth="1"/>
    <col min="134" max="134" width="7.36328125" bestFit="1" customWidth="1"/>
    <col min="135" max="135" width="16.36328125" bestFit="1" customWidth="1"/>
    <col min="136" max="136" width="13.54296875" bestFit="1" customWidth="1"/>
    <col min="137" max="137" width="16.36328125" bestFit="1" customWidth="1"/>
    <col min="138" max="138" width="13.54296875" bestFit="1" customWidth="1"/>
    <col min="139" max="139" width="6.36328125" bestFit="1" customWidth="1"/>
    <col min="140" max="140" width="16.36328125" bestFit="1" customWidth="1"/>
    <col min="141" max="141" width="12.54296875" bestFit="1" customWidth="1"/>
    <col min="142" max="142" width="6.36328125" bestFit="1" customWidth="1"/>
    <col min="143" max="143" width="15.36328125" bestFit="1" customWidth="1"/>
    <col min="144" max="144" width="13.54296875" bestFit="1" customWidth="1"/>
    <col min="145" max="145" width="6.36328125" bestFit="1" customWidth="1"/>
    <col min="146" max="146" width="16.36328125" bestFit="1" customWidth="1"/>
    <col min="147" max="147" width="13.54296875" bestFit="1" customWidth="1"/>
    <col min="148" max="148" width="6.36328125" bestFit="1" customWidth="1"/>
    <col min="149" max="149" width="16.36328125" bestFit="1" customWidth="1"/>
    <col min="150" max="150" width="13.54296875" bestFit="1" customWidth="1"/>
    <col min="151" max="151" width="6.36328125" bestFit="1" customWidth="1"/>
    <col min="152" max="152" width="16.36328125" bestFit="1" customWidth="1"/>
    <col min="153" max="153" width="13.54296875" bestFit="1" customWidth="1"/>
    <col min="154" max="154" width="6.36328125" bestFit="1" customWidth="1"/>
    <col min="155" max="155" width="16.36328125" bestFit="1" customWidth="1"/>
    <col min="156" max="156" width="13.54296875" bestFit="1" customWidth="1"/>
    <col min="157" max="157" width="6.36328125" bestFit="1" customWidth="1"/>
    <col min="158" max="158" width="16.36328125" bestFit="1" customWidth="1"/>
    <col min="159" max="159" width="13.54296875" bestFit="1" customWidth="1"/>
    <col min="160" max="160" width="6.36328125" bestFit="1" customWidth="1"/>
    <col min="161" max="161" width="16.36328125" bestFit="1" customWidth="1"/>
    <col min="162" max="162" width="13.54296875" bestFit="1" customWidth="1"/>
    <col min="163" max="163" width="7.36328125" bestFit="1" customWidth="1"/>
    <col min="164" max="164" width="16.36328125" bestFit="1" customWidth="1"/>
    <col min="165" max="165" width="13.54296875" bestFit="1" customWidth="1"/>
    <col min="166" max="166" width="6.36328125" bestFit="1" customWidth="1"/>
    <col min="167" max="167" width="16.36328125" bestFit="1" customWidth="1"/>
    <col min="168" max="168" width="13.54296875" bestFit="1" customWidth="1"/>
    <col min="169" max="169" width="6.36328125" bestFit="1" customWidth="1"/>
    <col min="170" max="170" width="16.36328125" bestFit="1" customWidth="1"/>
    <col min="171" max="171" width="13.54296875" bestFit="1" customWidth="1"/>
    <col min="172" max="172" width="6.36328125" bestFit="1" customWidth="1"/>
    <col min="173" max="173" width="16.36328125" bestFit="1" customWidth="1"/>
    <col min="174" max="174" width="12.54296875" bestFit="1" customWidth="1"/>
    <col min="175" max="175" width="7.36328125" bestFit="1" customWidth="1"/>
    <col min="176" max="176" width="15.36328125" bestFit="1" customWidth="1"/>
    <col min="177" max="177" width="13.54296875" bestFit="1" customWidth="1"/>
    <col min="178" max="178" width="6.36328125" bestFit="1" customWidth="1"/>
    <col min="179" max="179" width="16.36328125" bestFit="1" customWidth="1"/>
    <col min="180" max="180" width="13.54296875" bestFit="1" customWidth="1"/>
    <col min="181" max="181" width="6.36328125" bestFit="1" customWidth="1"/>
    <col min="182" max="182" width="16.36328125" bestFit="1" customWidth="1"/>
    <col min="183" max="183" width="13.54296875" bestFit="1" customWidth="1"/>
    <col min="184" max="184" width="7.36328125" bestFit="1" customWidth="1"/>
    <col min="185" max="185" width="16.36328125" bestFit="1" customWidth="1"/>
    <col min="186" max="186" width="13.54296875" bestFit="1" customWidth="1"/>
    <col min="187" max="187" width="6.36328125" bestFit="1" customWidth="1"/>
    <col min="188" max="188" width="16.36328125" bestFit="1" customWidth="1"/>
    <col min="189" max="189" width="13.54296875" bestFit="1" customWidth="1"/>
    <col min="190" max="190" width="6.36328125" bestFit="1" customWidth="1"/>
    <col min="191" max="191" width="16.36328125" bestFit="1" customWidth="1"/>
    <col min="192" max="192" width="13.54296875" bestFit="1" customWidth="1"/>
    <col min="193" max="193" width="6.36328125" bestFit="1" customWidth="1"/>
    <col min="194" max="194" width="16.36328125" bestFit="1" customWidth="1"/>
    <col min="195" max="195" width="13.54296875" bestFit="1" customWidth="1"/>
    <col min="196" max="196" width="6.36328125" bestFit="1" customWidth="1"/>
    <col min="197" max="197" width="16.36328125" bestFit="1" customWidth="1"/>
    <col min="198" max="198" width="13.54296875" bestFit="1" customWidth="1"/>
    <col min="199" max="199" width="6.36328125" bestFit="1" customWidth="1"/>
    <col min="200" max="200" width="16.36328125" bestFit="1" customWidth="1"/>
    <col min="201" max="201" width="13.54296875" bestFit="1" customWidth="1"/>
    <col min="202" max="202" width="16.36328125" bestFit="1" customWidth="1"/>
    <col min="203" max="203" width="13.54296875" bestFit="1" customWidth="1"/>
    <col min="204" max="204" width="16.36328125" bestFit="1" customWidth="1"/>
    <col min="205" max="205" width="12.54296875" bestFit="1" customWidth="1"/>
    <col min="206" max="206" width="6.36328125" bestFit="1" customWidth="1"/>
    <col min="207" max="207" width="15.36328125" bestFit="1" customWidth="1"/>
    <col min="208" max="208" width="13.54296875" bestFit="1" customWidth="1"/>
    <col min="209" max="209" width="6.36328125" bestFit="1" customWidth="1"/>
    <col min="210" max="210" width="16.36328125" bestFit="1" customWidth="1"/>
    <col min="211" max="211" width="13.54296875" bestFit="1" customWidth="1"/>
    <col min="212" max="212" width="5.7265625" bestFit="1" customWidth="1"/>
    <col min="213" max="213" width="16.36328125" bestFit="1" customWidth="1"/>
    <col min="214" max="214" width="13.54296875" bestFit="1" customWidth="1"/>
    <col min="215" max="215" width="16.36328125" bestFit="1" customWidth="1"/>
    <col min="216" max="216" width="13.54296875" bestFit="1" customWidth="1"/>
    <col min="217" max="217" width="6.36328125" bestFit="1" customWidth="1"/>
    <col min="218" max="218" width="16.36328125" bestFit="1" customWidth="1"/>
    <col min="219" max="219" width="13.54296875" bestFit="1" customWidth="1"/>
    <col min="220" max="220" width="6.36328125" bestFit="1" customWidth="1"/>
    <col min="221" max="221" width="16.36328125" bestFit="1" customWidth="1"/>
    <col min="222" max="222" width="13.54296875" bestFit="1" customWidth="1"/>
    <col min="223" max="223" width="7.36328125" bestFit="1" customWidth="1"/>
    <col min="224" max="224" width="16.36328125" bestFit="1" customWidth="1"/>
    <col min="225" max="225" width="13.54296875" bestFit="1" customWidth="1"/>
    <col min="226" max="226" width="6.36328125" bestFit="1" customWidth="1"/>
    <col min="227" max="227" width="16.36328125" bestFit="1" customWidth="1"/>
    <col min="228" max="228" width="13.54296875" bestFit="1" customWidth="1"/>
    <col min="229" max="229" width="6.36328125" bestFit="1" customWidth="1"/>
    <col min="230" max="230" width="16.36328125" bestFit="1" customWidth="1"/>
    <col min="231" max="231" width="13.54296875" bestFit="1" customWidth="1"/>
    <col min="232" max="232" width="6.36328125" bestFit="1" customWidth="1"/>
    <col min="233" max="233" width="16.36328125" bestFit="1" customWidth="1"/>
    <col min="234" max="234" width="13.54296875" bestFit="1" customWidth="1"/>
    <col min="235" max="235" width="6.36328125" bestFit="1" customWidth="1"/>
    <col min="236" max="236" width="16.36328125" bestFit="1" customWidth="1"/>
    <col min="237" max="237" width="12.54296875" bestFit="1" customWidth="1"/>
    <col min="238" max="238" width="7.36328125" bestFit="1" customWidth="1"/>
    <col min="239" max="239" width="15.36328125" bestFit="1" customWidth="1"/>
    <col min="240" max="240" width="12.54296875" bestFit="1" customWidth="1"/>
    <col min="241" max="241" width="6.36328125" bestFit="1" customWidth="1"/>
    <col min="242" max="242" width="15.36328125" bestFit="1" customWidth="1"/>
    <col min="243" max="356" width="5.90625" bestFit="1" customWidth="1"/>
    <col min="357" max="357" width="6.90625" bestFit="1" customWidth="1"/>
    <col min="358" max="376" width="5.90625" bestFit="1" customWidth="1"/>
    <col min="377" max="377" width="7.90625" bestFit="1" customWidth="1"/>
    <col min="378" max="445" width="5.90625" bestFit="1" customWidth="1"/>
    <col min="446" max="492" width="5.1796875" bestFit="1" customWidth="1"/>
  </cols>
  <sheetData>
    <row r="3" spans="2:3" x14ac:dyDescent="0.35">
      <c r="B3" s="2" t="s">
        <v>3</v>
      </c>
      <c r="C3" t="s">
        <v>105</v>
      </c>
    </row>
    <row r="4" spans="2:3" x14ac:dyDescent="0.35">
      <c r="B4" t="s">
        <v>28</v>
      </c>
      <c r="C4" s="6">
        <v>1846.9799999999998</v>
      </c>
    </row>
    <row r="5" spans="2:3" x14ac:dyDescent="0.35">
      <c r="B5" t="s">
        <v>14</v>
      </c>
      <c r="C5" s="6">
        <v>1816.4600000000003</v>
      </c>
    </row>
    <row r="6" spans="2:3" x14ac:dyDescent="0.35">
      <c r="B6" t="s">
        <v>23</v>
      </c>
      <c r="C6" s="6">
        <v>1806.3999999999999</v>
      </c>
    </row>
    <row r="7" spans="2:3" x14ac:dyDescent="0.35">
      <c r="B7" t="s">
        <v>20</v>
      </c>
      <c r="C7" s="6">
        <v>1730.97</v>
      </c>
    </row>
    <row r="8" spans="2:3" x14ac:dyDescent="0.35">
      <c r="B8" t="s">
        <v>10</v>
      </c>
      <c r="C8" s="6">
        <v>1626.2700000000002</v>
      </c>
    </row>
    <row r="9" spans="2:3" x14ac:dyDescent="0.35">
      <c r="B9" t="s">
        <v>17</v>
      </c>
      <c r="C9" s="6">
        <v>1569.0100000000002</v>
      </c>
    </row>
    <row r="10" spans="2:3" x14ac:dyDescent="0.35">
      <c r="B10" t="s">
        <v>95</v>
      </c>
      <c r="C10" s="6">
        <v>99.23</v>
      </c>
    </row>
    <row r="20" spans="2:3" x14ac:dyDescent="0.35">
      <c r="B20" s="2" t="s">
        <v>2</v>
      </c>
      <c r="C20" s="7" t="s">
        <v>105</v>
      </c>
    </row>
    <row r="21" spans="2:3" x14ac:dyDescent="0.35">
      <c r="B21" t="s">
        <v>75</v>
      </c>
      <c r="C21" s="8">
        <v>316.22000000000003</v>
      </c>
    </row>
    <row r="22" spans="2:3" x14ac:dyDescent="0.35">
      <c r="B22" t="s">
        <v>46</v>
      </c>
      <c r="C22" s="8">
        <v>280.49</v>
      </c>
    </row>
    <row r="23" spans="2:3" x14ac:dyDescent="0.35">
      <c r="B23" t="s">
        <v>30</v>
      </c>
      <c r="C23" s="8">
        <v>249.83</v>
      </c>
    </row>
    <row r="24" spans="2:3" x14ac:dyDescent="0.35">
      <c r="B24" t="s">
        <v>47</v>
      </c>
      <c r="C24" s="8">
        <v>236.20999999999998</v>
      </c>
    </row>
    <row r="25" spans="2:3" x14ac:dyDescent="0.35">
      <c r="B25" t="s">
        <v>72</v>
      </c>
      <c r="C25" s="8">
        <v>224.42000000000002</v>
      </c>
    </row>
    <row r="37" spans="2:3" x14ac:dyDescent="0.35">
      <c r="B37" s="2" t="s">
        <v>106</v>
      </c>
      <c r="C37" t="s">
        <v>105</v>
      </c>
    </row>
    <row r="38" spans="2:3" x14ac:dyDescent="0.35">
      <c r="B38" t="s">
        <v>110</v>
      </c>
      <c r="C38" s="8">
        <v>1108.2800000000002</v>
      </c>
    </row>
    <row r="39" spans="2:3" x14ac:dyDescent="0.35">
      <c r="B39" t="s">
        <v>112</v>
      </c>
      <c r="C39" s="8">
        <v>1022.5199999999999</v>
      </c>
    </row>
    <row r="40" spans="2:3" x14ac:dyDescent="0.35">
      <c r="B40" t="s">
        <v>115</v>
      </c>
      <c r="C40" s="8">
        <v>992.27</v>
      </c>
    </row>
    <row r="41" spans="2:3" x14ac:dyDescent="0.35">
      <c r="B41" t="s">
        <v>116</v>
      </c>
      <c r="C41" s="8">
        <v>985.2199999999998</v>
      </c>
    </row>
    <row r="42" spans="2:3" x14ac:dyDescent="0.35">
      <c r="B42" t="s">
        <v>118</v>
      </c>
      <c r="C42" s="8">
        <v>969.28</v>
      </c>
    </row>
    <row r="43" spans="2:3" x14ac:dyDescent="0.35">
      <c r="B43" t="s">
        <v>111</v>
      </c>
      <c r="C43" s="8">
        <v>945.07999999999993</v>
      </c>
    </row>
    <row r="44" spans="2:3" x14ac:dyDescent="0.35">
      <c r="B44" t="s">
        <v>108</v>
      </c>
      <c r="C44" s="8">
        <v>927.09999999999991</v>
      </c>
    </row>
    <row r="45" spans="2:3" x14ac:dyDescent="0.35">
      <c r="B45" t="s">
        <v>114</v>
      </c>
      <c r="C45" s="8">
        <v>899.3300000000005</v>
      </c>
    </row>
    <row r="46" spans="2:3" x14ac:dyDescent="0.35">
      <c r="B46" t="s">
        <v>117</v>
      </c>
      <c r="C46" s="8">
        <v>827.53</v>
      </c>
    </row>
    <row r="47" spans="2:3" x14ac:dyDescent="0.35">
      <c r="B47" t="s">
        <v>113</v>
      </c>
      <c r="C47" s="8">
        <v>777.68</v>
      </c>
    </row>
    <row r="48" spans="2:3" x14ac:dyDescent="0.35">
      <c r="B48" t="s">
        <v>107</v>
      </c>
      <c r="C48" s="8">
        <v>558.85</v>
      </c>
    </row>
    <row r="49" spans="2:7" x14ac:dyDescent="0.35">
      <c r="B49" t="s">
        <v>109</v>
      </c>
      <c r="C49" s="8">
        <v>482.18000000000012</v>
      </c>
    </row>
    <row r="55" spans="2:7" x14ac:dyDescent="0.35">
      <c r="B55" s="2" t="s">
        <v>103</v>
      </c>
      <c r="C55" t="s">
        <v>122</v>
      </c>
    </row>
    <row r="56" spans="2:7" x14ac:dyDescent="0.35">
      <c r="B56" s="3">
        <v>1001</v>
      </c>
      <c r="C56" s="4">
        <v>6</v>
      </c>
      <c r="F56" s="2" t="s">
        <v>103</v>
      </c>
      <c r="G56" t="s">
        <v>105</v>
      </c>
    </row>
    <row r="57" spans="2:7" x14ac:dyDescent="0.35">
      <c r="B57" s="3">
        <v>1002</v>
      </c>
      <c r="C57" s="4">
        <v>4</v>
      </c>
      <c r="F57" s="3" t="s">
        <v>26</v>
      </c>
      <c r="G57" s="8">
        <v>5482.6100000000006</v>
      </c>
    </row>
    <row r="58" spans="2:7" x14ac:dyDescent="0.35">
      <c r="B58" s="3">
        <v>1003</v>
      </c>
      <c r="C58" s="4">
        <v>6</v>
      </c>
      <c r="F58" s="3" t="s">
        <v>102</v>
      </c>
      <c r="G58" s="8">
        <v>66.22</v>
      </c>
    </row>
    <row r="59" spans="2:7" x14ac:dyDescent="0.35">
      <c r="B59" s="3">
        <v>1004</v>
      </c>
      <c r="C59" s="4">
        <v>3</v>
      </c>
      <c r="F59" s="3" t="s">
        <v>12</v>
      </c>
      <c r="G59" s="8">
        <v>4946.4900000000007</v>
      </c>
    </row>
    <row r="60" spans="2:7" x14ac:dyDescent="0.35">
      <c r="B60" s="3">
        <v>1005</v>
      </c>
      <c r="C60" s="4">
        <v>6</v>
      </c>
      <c r="F60" s="3" t="s">
        <v>104</v>
      </c>
      <c r="G60" s="8">
        <v>10495.320000000002</v>
      </c>
    </row>
    <row r="61" spans="2:7" x14ac:dyDescent="0.35">
      <c r="B61" s="3">
        <v>1006</v>
      </c>
      <c r="C61" s="4">
        <v>2</v>
      </c>
    </row>
    <row r="62" spans="2:7" x14ac:dyDescent="0.35">
      <c r="B62" s="3">
        <v>1007</v>
      </c>
      <c r="C62" s="4">
        <v>2</v>
      </c>
    </row>
    <row r="63" spans="2:7" x14ac:dyDescent="0.35">
      <c r="B63" s="3">
        <v>1008</v>
      </c>
      <c r="C63" s="4">
        <v>9</v>
      </c>
    </row>
    <row r="64" spans="2:7" x14ac:dyDescent="0.35">
      <c r="B64" s="3">
        <v>1009</v>
      </c>
      <c r="C64" s="4">
        <v>7</v>
      </c>
    </row>
    <row r="65" spans="2:8" x14ac:dyDescent="0.35">
      <c r="B65" s="3">
        <v>1010</v>
      </c>
      <c r="C65" s="4">
        <v>3</v>
      </c>
    </row>
    <row r="66" spans="2:8" x14ac:dyDescent="0.35">
      <c r="B66" s="3">
        <v>1011</v>
      </c>
      <c r="C66" s="4">
        <v>1</v>
      </c>
    </row>
    <row r="67" spans="2:8" x14ac:dyDescent="0.35">
      <c r="B67" s="3">
        <v>1012</v>
      </c>
      <c r="C67" s="4">
        <v>8</v>
      </c>
    </row>
    <row r="68" spans="2:8" x14ac:dyDescent="0.35">
      <c r="B68" s="3">
        <v>1013</v>
      </c>
      <c r="C68" s="4">
        <v>6</v>
      </c>
    </row>
    <row r="69" spans="2:8" x14ac:dyDescent="0.35">
      <c r="B69" s="3">
        <v>1014</v>
      </c>
      <c r="C69" s="4">
        <v>7</v>
      </c>
    </row>
    <row r="70" spans="2:8" x14ac:dyDescent="0.35">
      <c r="B70" s="3">
        <v>1015</v>
      </c>
      <c r="C70" s="4">
        <v>9</v>
      </c>
    </row>
    <row r="71" spans="2:8" x14ac:dyDescent="0.35">
      <c r="B71" s="3">
        <v>1017</v>
      </c>
      <c r="C71" s="4">
        <v>1</v>
      </c>
    </row>
    <row r="72" spans="2:8" x14ac:dyDescent="0.35">
      <c r="B72" s="3">
        <v>1018</v>
      </c>
      <c r="C72" s="4">
        <v>7</v>
      </c>
    </row>
    <row r="73" spans="2:8" x14ac:dyDescent="0.35">
      <c r="B73" s="3">
        <v>1019</v>
      </c>
      <c r="C73" s="4">
        <v>5</v>
      </c>
    </row>
    <row r="74" spans="2:8" x14ac:dyDescent="0.35">
      <c r="B74" s="3">
        <v>1020</v>
      </c>
      <c r="C74" s="4">
        <v>3</v>
      </c>
    </row>
    <row r="75" spans="2:8" x14ac:dyDescent="0.35">
      <c r="B75" s="3">
        <v>1021</v>
      </c>
      <c r="C75" s="4">
        <v>9</v>
      </c>
      <c r="F75" s="2" t="s">
        <v>105</v>
      </c>
      <c r="G75" s="2" t="s">
        <v>119</v>
      </c>
    </row>
    <row r="76" spans="2:8" x14ac:dyDescent="0.35">
      <c r="B76" s="3">
        <v>1022</v>
      </c>
      <c r="C76" s="4">
        <v>1</v>
      </c>
      <c r="F76" s="2" t="s">
        <v>103</v>
      </c>
      <c r="G76" t="s">
        <v>26</v>
      </c>
      <c r="H76" t="s">
        <v>12</v>
      </c>
    </row>
    <row r="77" spans="2:8" x14ac:dyDescent="0.35">
      <c r="B77" s="3">
        <v>1023</v>
      </c>
      <c r="C77" s="4">
        <v>1</v>
      </c>
      <c r="F77" s="3" t="s">
        <v>28</v>
      </c>
      <c r="G77" s="10">
        <v>0.56360025820851445</v>
      </c>
      <c r="H77" s="10">
        <v>0.43639974179148561</v>
      </c>
    </row>
    <row r="78" spans="2:8" x14ac:dyDescent="0.35">
      <c r="B78" s="3">
        <v>1024</v>
      </c>
      <c r="C78" s="4">
        <v>1</v>
      </c>
      <c r="F78" s="3" t="s">
        <v>14</v>
      </c>
      <c r="G78" s="10">
        <v>0.53811809783865328</v>
      </c>
      <c r="H78" s="10">
        <v>0.46188190216134672</v>
      </c>
    </row>
    <row r="79" spans="2:8" x14ac:dyDescent="0.35">
      <c r="B79" s="3">
        <v>1025</v>
      </c>
      <c r="C79" s="4">
        <v>3</v>
      </c>
      <c r="F79" s="3" t="s">
        <v>23</v>
      </c>
      <c r="G79" s="10">
        <v>0.43936654093632116</v>
      </c>
      <c r="H79" s="10">
        <v>0.56063345906367879</v>
      </c>
    </row>
    <row r="80" spans="2:8" x14ac:dyDescent="0.35">
      <c r="B80" s="3">
        <v>1026</v>
      </c>
      <c r="C80" s="4">
        <v>6</v>
      </c>
      <c r="F80" s="3" t="s">
        <v>20</v>
      </c>
      <c r="G80" s="10">
        <v>0.57640481904975316</v>
      </c>
      <c r="H80" s="10">
        <v>0.4235951809502469</v>
      </c>
    </row>
    <row r="81" spans="2:8" x14ac:dyDescent="0.35">
      <c r="B81" s="3">
        <v>1027</v>
      </c>
      <c r="C81" s="4">
        <v>3</v>
      </c>
      <c r="F81" s="3" t="s">
        <v>10</v>
      </c>
      <c r="G81" s="10">
        <v>0.50207992088265296</v>
      </c>
      <c r="H81" s="10">
        <v>0.49792007911734709</v>
      </c>
    </row>
    <row r="82" spans="2:8" x14ac:dyDescent="0.35">
      <c r="B82" s="3">
        <v>1028</v>
      </c>
      <c r="C82" s="4">
        <v>8</v>
      </c>
      <c r="F82" s="3" t="s">
        <v>17</v>
      </c>
      <c r="G82" s="10">
        <v>0.53731971115544208</v>
      </c>
      <c r="H82" s="10">
        <v>0.46268028884455792</v>
      </c>
    </row>
    <row r="83" spans="2:8" x14ac:dyDescent="0.35">
      <c r="B83" s="3">
        <v>1029</v>
      </c>
      <c r="C83" s="4">
        <v>2</v>
      </c>
      <c r="F83" s="3" t="s">
        <v>95</v>
      </c>
      <c r="G83" s="10">
        <v>0.50387987503779108</v>
      </c>
      <c r="H83" s="10">
        <v>0.49612012496220903</v>
      </c>
    </row>
    <row r="84" spans="2:8" x14ac:dyDescent="0.35">
      <c r="B84" s="3">
        <v>1030</v>
      </c>
      <c r="C84" s="4">
        <v>9</v>
      </c>
      <c r="F84" s="3" t="s">
        <v>104</v>
      </c>
      <c r="G84" s="10">
        <v>0.52570308080275385</v>
      </c>
      <c r="H84" s="10">
        <v>0.47429691919724615</v>
      </c>
    </row>
    <row r="85" spans="2:8" x14ac:dyDescent="0.35">
      <c r="B85" s="3">
        <v>1032</v>
      </c>
      <c r="C85" s="4">
        <v>5</v>
      </c>
    </row>
    <row r="86" spans="2:8" x14ac:dyDescent="0.35">
      <c r="B86" s="3">
        <v>1033</v>
      </c>
      <c r="C86" s="4">
        <v>8</v>
      </c>
    </row>
    <row r="87" spans="2:8" x14ac:dyDescent="0.35">
      <c r="B87" s="3">
        <v>1034</v>
      </c>
      <c r="C87" s="4">
        <v>2</v>
      </c>
    </row>
    <row r="88" spans="2:8" x14ac:dyDescent="0.35">
      <c r="B88" s="3">
        <v>1035</v>
      </c>
      <c r="C88" s="4">
        <v>6</v>
      </c>
      <c r="F88" s="2" t="s">
        <v>103</v>
      </c>
      <c r="G88" t="s">
        <v>120</v>
      </c>
    </row>
    <row r="89" spans="2:8" x14ac:dyDescent="0.35">
      <c r="B89" s="3">
        <v>1036</v>
      </c>
      <c r="C89" s="4">
        <v>5</v>
      </c>
      <c r="F89" s="3" t="s">
        <v>26</v>
      </c>
      <c r="G89" s="10">
        <v>0.54216867469879515</v>
      </c>
    </row>
    <row r="90" spans="2:8" x14ac:dyDescent="0.35">
      <c r="B90" s="3">
        <v>1037</v>
      </c>
      <c r="C90" s="4">
        <v>9</v>
      </c>
      <c r="F90" s="3" t="s">
        <v>102</v>
      </c>
      <c r="G90" s="10">
        <v>1.2048192771084338E-2</v>
      </c>
    </row>
    <row r="91" spans="2:8" x14ac:dyDescent="0.35">
      <c r="B91" s="3">
        <v>1038</v>
      </c>
      <c r="C91" s="4">
        <v>5</v>
      </c>
      <c r="F91" s="3" t="s">
        <v>12</v>
      </c>
      <c r="G91" s="10">
        <v>0.44578313253012047</v>
      </c>
    </row>
    <row r="92" spans="2:8" x14ac:dyDescent="0.35">
      <c r="B92" s="3">
        <v>1039</v>
      </c>
      <c r="C92" s="4">
        <v>2</v>
      </c>
      <c r="F92" s="3" t="s">
        <v>104</v>
      </c>
      <c r="G92" s="10">
        <v>1</v>
      </c>
    </row>
    <row r="93" spans="2:8" x14ac:dyDescent="0.35">
      <c r="B93" s="3">
        <v>1040</v>
      </c>
      <c r="C93" s="4">
        <v>5</v>
      </c>
    </row>
    <row r="94" spans="2:8" x14ac:dyDescent="0.35">
      <c r="B94" s="3">
        <v>1041</v>
      </c>
      <c r="C94" s="4">
        <v>4</v>
      </c>
    </row>
    <row r="95" spans="2:8" x14ac:dyDescent="0.35">
      <c r="B95" s="3">
        <v>1042</v>
      </c>
      <c r="C95" s="4">
        <v>7</v>
      </c>
    </row>
    <row r="96" spans="2:8" x14ac:dyDescent="0.35">
      <c r="B96" s="3">
        <v>1043</v>
      </c>
      <c r="C96" s="4">
        <v>6</v>
      </c>
    </row>
    <row r="97" spans="2:7" x14ac:dyDescent="0.35">
      <c r="B97" s="3">
        <v>1044</v>
      </c>
      <c r="C97" s="4">
        <v>2</v>
      </c>
    </row>
    <row r="98" spans="2:7" x14ac:dyDescent="0.35">
      <c r="B98" s="3">
        <v>1045</v>
      </c>
      <c r="C98" s="4">
        <v>5</v>
      </c>
    </row>
    <row r="99" spans="2:7" x14ac:dyDescent="0.35">
      <c r="B99" s="3">
        <v>1046</v>
      </c>
      <c r="C99" s="4">
        <v>7</v>
      </c>
    </row>
    <row r="100" spans="2:7" x14ac:dyDescent="0.35">
      <c r="B100" s="3">
        <v>1047</v>
      </c>
      <c r="C100" s="4">
        <v>7</v>
      </c>
    </row>
    <row r="101" spans="2:7" x14ac:dyDescent="0.35">
      <c r="B101" s="3">
        <v>1048</v>
      </c>
      <c r="C101" s="4">
        <v>5</v>
      </c>
    </row>
    <row r="102" spans="2:7" x14ac:dyDescent="0.35">
      <c r="B102" s="3">
        <v>1049</v>
      </c>
      <c r="C102" s="4">
        <v>9</v>
      </c>
      <c r="F102" s="2" t="s">
        <v>103</v>
      </c>
      <c r="G102" t="s">
        <v>105</v>
      </c>
    </row>
    <row r="103" spans="2:7" x14ac:dyDescent="0.35">
      <c r="B103" s="3">
        <v>1050</v>
      </c>
      <c r="C103" s="4">
        <v>4</v>
      </c>
      <c r="F103" s="3" t="s">
        <v>28</v>
      </c>
      <c r="G103" s="10">
        <v>0.17598129451984312</v>
      </c>
    </row>
    <row r="104" spans="2:7" x14ac:dyDescent="0.35">
      <c r="B104" s="3">
        <v>1051</v>
      </c>
      <c r="C104" s="4">
        <v>3</v>
      </c>
      <c r="F104" s="9" t="s">
        <v>26</v>
      </c>
      <c r="G104" s="10">
        <v>9.8162800181414211E-2</v>
      </c>
    </row>
    <row r="105" spans="2:7" x14ac:dyDescent="0.35">
      <c r="B105" s="3">
        <v>1052</v>
      </c>
      <c r="C105" s="4">
        <v>4</v>
      </c>
      <c r="F105" s="9" t="s">
        <v>102</v>
      </c>
      <c r="G105" s="10">
        <v>1.810330699778568E-3</v>
      </c>
    </row>
    <row r="106" spans="2:7" x14ac:dyDescent="0.35">
      <c r="B106" s="3">
        <v>1053</v>
      </c>
      <c r="C106" s="4">
        <v>5</v>
      </c>
      <c r="F106" s="9" t="s">
        <v>12</v>
      </c>
      <c r="G106" s="10">
        <v>7.6008163638650358E-2</v>
      </c>
    </row>
    <row r="107" spans="2:7" x14ac:dyDescent="0.35">
      <c r="B107" s="3">
        <v>1054</v>
      </c>
      <c r="C107" s="4">
        <v>6</v>
      </c>
      <c r="F107" s="3" t="s">
        <v>10</v>
      </c>
      <c r="G107" s="10">
        <v>0.1549519214278364</v>
      </c>
    </row>
    <row r="108" spans="2:7" x14ac:dyDescent="0.35">
      <c r="B108" s="3">
        <v>1055</v>
      </c>
      <c r="C108" s="4">
        <v>3</v>
      </c>
      <c r="F108" s="9" t="s">
        <v>26</v>
      </c>
      <c r="G108" s="10">
        <v>7.7395448638059625E-2</v>
      </c>
    </row>
    <row r="109" spans="2:7" x14ac:dyDescent="0.35">
      <c r="B109" s="3">
        <v>1056</v>
      </c>
      <c r="C109" s="4">
        <v>2</v>
      </c>
      <c r="F109" s="9" t="s">
        <v>102</v>
      </c>
      <c r="G109" s="10">
        <v>8.0226234169134436E-4</v>
      </c>
    </row>
    <row r="110" spans="2:7" x14ac:dyDescent="0.35">
      <c r="B110" s="3">
        <v>1057</v>
      </c>
      <c r="C110" s="4">
        <v>4</v>
      </c>
      <c r="F110" s="9" t="s">
        <v>12</v>
      </c>
      <c r="G110" s="10">
        <v>7.6754210448085433E-2</v>
      </c>
    </row>
    <row r="111" spans="2:7" x14ac:dyDescent="0.35">
      <c r="B111" s="3">
        <v>1058</v>
      </c>
      <c r="C111" s="4">
        <v>5</v>
      </c>
      <c r="F111" s="3" t="s">
        <v>20</v>
      </c>
      <c r="G111" s="10">
        <v>0.16492779638924779</v>
      </c>
    </row>
    <row r="112" spans="2:7" x14ac:dyDescent="0.35">
      <c r="B112" s="3">
        <v>1059</v>
      </c>
      <c r="C112" s="4">
        <v>4</v>
      </c>
      <c r="F112" s="9" t="s">
        <v>26</v>
      </c>
      <c r="G112" s="10">
        <v>9.3131986447292689E-2</v>
      </c>
    </row>
    <row r="113" spans="2:7" x14ac:dyDescent="0.35">
      <c r="B113" s="3">
        <v>1060</v>
      </c>
      <c r="C113" s="4">
        <v>3</v>
      </c>
      <c r="F113" s="9" t="s">
        <v>102</v>
      </c>
      <c r="G113" s="10">
        <v>3.3538758227476631E-3</v>
      </c>
    </row>
    <row r="114" spans="2:7" x14ac:dyDescent="0.35">
      <c r="B114" s="3">
        <v>1061</v>
      </c>
      <c r="C114" s="4">
        <v>8</v>
      </c>
      <c r="F114" s="9" t="s">
        <v>12</v>
      </c>
      <c r="G114" s="10">
        <v>6.8441934119207432E-2</v>
      </c>
    </row>
    <row r="115" spans="2:7" x14ac:dyDescent="0.35">
      <c r="B115" s="3">
        <v>1062</v>
      </c>
      <c r="C115" s="4">
        <v>4</v>
      </c>
      <c r="F115" s="3" t="s">
        <v>17</v>
      </c>
      <c r="G115" s="10">
        <v>0.14949615638208269</v>
      </c>
    </row>
    <row r="116" spans="2:7" x14ac:dyDescent="0.35">
      <c r="B116" s="3">
        <v>1063</v>
      </c>
      <c r="C116" s="4">
        <v>2</v>
      </c>
      <c r="F116" s="9" t="s">
        <v>26</v>
      </c>
      <c r="G116" s="10">
        <v>8.0327231566069468E-2</v>
      </c>
    </row>
    <row r="117" spans="2:7" x14ac:dyDescent="0.35">
      <c r="B117" s="3">
        <v>1064</v>
      </c>
      <c r="C117" s="4">
        <v>2</v>
      </c>
      <c r="F117" s="9" t="s">
        <v>12</v>
      </c>
      <c r="G117" s="10">
        <v>6.9168924816013222E-2</v>
      </c>
    </row>
    <row r="118" spans="2:7" x14ac:dyDescent="0.35">
      <c r="B118" s="3">
        <v>1065</v>
      </c>
      <c r="C118" s="4">
        <v>1</v>
      </c>
      <c r="F118" s="3" t="s">
        <v>95</v>
      </c>
      <c r="G118" s="10">
        <v>9.4546902810014356E-3</v>
      </c>
    </row>
    <row r="119" spans="2:7" x14ac:dyDescent="0.35">
      <c r="B119" s="3">
        <v>1066</v>
      </c>
      <c r="C119" s="4">
        <v>4</v>
      </c>
      <c r="F119" s="9" t="s">
        <v>26</v>
      </c>
      <c r="G119" s="10">
        <v>4.7640281573120211E-3</v>
      </c>
    </row>
    <row r="120" spans="2:7" x14ac:dyDescent="0.35">
      <c r="B120" s="3">
        <v>1067</v>
      </c>
      <c r="C120" s="4">
        <v>9</v>
      </c>
      <c r="F120" s="9" t="s">
        <v>12</v>
      </c>
      <c r="G120" s="10">
        <v>4.6906621236894154E-3</v>
      </c>
    </row>
    <row r="121" spans="2:7" x14ac:dyDescent="0.35">
      <c r="B121" s="3">
        <v>1068</v>
      </c>
      <c r="C121" s="4">
        <v>7</v>
      </c>
      <c r="F121" s="3" t="s">
        <v>14</v>
      </c>
      <c r="G121" s="10">
        <v>0.17307333173261991</v>
      </c>
    </row>
    <row r="122" spans="2:7" x14ac:dyDescent="0.35">
      <c r="B122" s="3">
        <v>1069</v>
      </c>
      <c r="C122" s="4">
        <v>7</v>
      </c>
      <c r="F122" s="9" t="s">
        <v>26</v>
      </c>
      <c r="G122" s="10">
        <v>9.3133892058555656E-2</v>
      </c>
    </row>
    <row r="123" spans="2:7" x14ac:dyDescent="0.35">
      <c r="B123" s="3">
        <v>1070</v>
      </c>
      <c r="C123" s="4">
        <v>7</v>
      </c>
      <c r="F123" s="9" t="s">
        <v>12</v>
      </c>
      <c r="G123" s="10">
        <v>7.993943967406425E-2</v>
      </c>
    </row>
    <row r="124" spans="2:7" x14ac:dyDescent="0.35">
      <c r="B124" s="3">
        <v>1071</v>
      </c>
      <c r="C124" s="4">
        <v>8</v>
      </c>
      <c r="F124" s="3" t="s">
        <v>23</v>
      </c>
      <c r="G124" s="10">
        <v>0.17211480926736866</v>
      </c>
    </row>
    <row r="125" spans="2:7" x14ac:dyDescent="0.35">
      <c r="B125" s="3">
        <v>1072</v>
      </c>
      <c r="C125" s="4">
        <v>1</v>
      </c>
      <c r="F125" s="9" t="s">
        <v>26</v>
      </c>
      <c r="G125" s="10">
        <v>7.5470781262505546E-2</v>
      </c>
    </row>
    <row r="126" spans="2:7" x14ac:dyDescent="0.35">
      <c r="B126" s="3">
        <v>1073</v>
      </c>
      <c r="C126" s="4">
        <v>8</v>
      </c>
      <c r="F126" s="9" t="s">
        <v>102</v>
      </c>
      <c r="G126" s="10">
        <v>3.4301002732646551E-4</v>
      </c>
    </row>
    <row r="127" spans="2:7" x14ac:dyDescent="0.35">
      <c r="B127" s="3">
        <v>1074</v>
      </c>
      <c r="C127" s="4">
        <v>4</v>
      </c>
      <c r="F127" s="9" t="s">
        <v>12</v>
      </c>
      <c r="G127" s="10">
        <v>9.6301017977536651E-2</v>
      </c>
    </row>
    <row r="128" spans="2:7" x14ac:dyDescent="0.35">
      <c r="B128" s="3">
        <v>1075</v>
      </c>
      <c r="C128" s="4">
        <v>4</v>
      </c>
      <c r="F128" s="3" t="s">
        <v>104</v>
      </c>
      <c r="G128" s="10">
        <v>1</v>
      </c>
    </row>
    <row r="129" spans="2:23" x14ac:dyDescent="0.35">
      <c r="B129" s="3">
        <v>1076</v>
      </c>
      <c r="C129" s="4">
        <v>4</v>
      </c>
    </row>
    <row r="130" spans="2:23" x14ac:dyDescent="0.35">
      <c r="B130" s="3">
        <v>1077</v>
      </c>
      <c r="C130" s="4">
        <v>6</v>
      </c>
    </row>
    <row r="131" spans="2:23" x14ac:dyDescent="0.35">
      <c r="B131" s="3">
        <v>1078</v>
      </c>
      <c r="C131" s="4">
        <v>7</v>
      </c>
    </row>
    <row r="132" spans="2:23" x14ac:dyDescent="0.35">
      <c r="B132" s="3">
        <v>1079</v>
      </c>
      <c r="C132" s="4">
        <v>6</v>
      </c>
    </row>
    <row r="133" spans="2:23" x14ac:dyDescent="0.35">
      <c r="B133" s="3">
        <v>1080</v>
      </c>
      <c r="C133" s="4">
        <v>1</v>
      </c>
    </row>
    <row r="134" spans="2:23" x14ac:dyDescent="0.35">
      <c r="B134" s="3">
        <v>1081</v>
      </c>
      <c r="C134" s="4">
        <v>8</v>
      </c>
      <c r="L134" s="2" t="s">
        <v>105</v>
      </c>
      <c r="M134" s="2" t="s">
        <v>119</v>
      </c>
      <c r="T134" s="2" t="s">
        <v>119</v>
      </c>
    </row>
    <row r="135" spans="2:23" x14ac:dyDescent="0.35">
      <c r="B135" s="3">
        <v>1082</v>
      </c>
      <c r="C135" s="4">
        <v>7</v>
      </c>
      <c r="L135" s="2" t="s">
        <v>103</v>
      </c>
      <c r="M135" t="s">
        <v>26</v>
      </c>
      <c r="N135" t="s">
        <v>12</v>
      </c>
      <c r="T135" t="s">
        <v>26</v>
      </c>
      <c r="V135" t="s">
        <v>12</v>
      </c>
    </row>
    <row r="136" spans="2:23" x14ac:dyDescent="0.35">
      <c r="B136" s="3">
        <v>1083</v>
      </c>
      <c r="C136" s="4">
        <v>6</v>
      </c>
      <c r="L136" s="3" t="s">
        <v>75</v>
      </c>
      <c r="M136" s="8">
        <v>228.66000000000003</v>
      </c>
      <c r="N136" s="8">
        <v>87.56</v>
      </c>
      <c r="S136" s="2" t="s">
        <v>103</v>
      </c>
      <c r="T136" t="s">
        <v>105</v>
      </c>
      <c r="U136" t="s">
        <v>121</v>
      </c>
      <c r="V136" t="s">
        <v>105</v>
      </c>
      <c r="W136" t="s">
        <v>121</v>
      </c>
    </row>
    <row r="137" spans="2:23" x14ac:dyDescent="0.35">
      <c r="B137" s="3">
        <v>1084</v>
      </c>
      <c r="C137" s="4">
        <v>6</v>
      </c>
      <c r="L137" s="3" t="s">
        <v>46</v>
      </c>
      <c r="M137" s="8">
        <v>161.19999999999999</v>
      </c>
      <c r="N137" s="8">
        <v>119.29</v>
      </c>
      <c r="S137" s="3" t="s">
        <v>75</v>
      </c>
      <c r="T137" s="8">
        <v>228.66000000000003</v>
      </c>
      <c r="U137" s="5">
        <v>7</v>
      </c>
      <c r="V137" s="8">
        <v>87.56</v>
      </c>
      <c r="W137" s="5">
        <v>3</v>
      </c>
    </row>
    <row r="138" spans="2:23" x14ac:dyDescent="0.35">
      <c r="B138" s="3">
        <v>1085</v>
      </c>
      <c r="C138" s="4">
        <v>5</v>
      </c>
      <c r="L138" s="3" t="s">
        <v>30</v>
      </c>
      <c r="M138" s="8">
        <v>161.25</v>
      </c>
      <c r="N138" s="8">
        <v>88.58</v>
      </c>
      <c r="S138" s="3" t="s">
        <v>46</v>
      </c>
      <c r="T138" s="8">
        <v>161.19999999999999</v>
      </c>
      <c r="U138" s="5">
        <v>8</v>
      </c>
      <c r="V138" s="8">
        <v>119.29</v>
      </c>
      <c r="W138" s="5">
        <v>4</v>
      </c>
    </row>
    <row r="139" spans="2:23" x14ac:dyDescent="0.35">
      <c r="B139" s="3">
        <v>1086</v>
      </c>
      <c r="C139" s="4">
        <v>6</v>
      </c>
      <c r="L139" s="3" t="s">
        <v>47</v>
      </c>
      <c r="M139" s="8">
        <v>72.94</v>
      </c>
      <c r="N139" s="8">
        <v>163.27000000000001</v>
      </c>
      <c r="S139" s="3" t="s">
        <v>30</v>
      </c>
      <c r="T139" s="8">
        <v>161.25</v>
      </c>
      <c r="U139" s="5">
        <v>7</v>
      </c>
      <c r="V139" s="8">
        <v>88.58</v>
      </c>
      <c r="W139" s="5">
        <v>4</v>
      </c>
    </row>
    <row r="140" spans="2:23" x14ac:dyDescent="0.35">
      <c r="B140" s="3">
        <v>1087</v>
      </c>
      <c r="C140" s="4">
        <v>9</v>
      </c>
      <c r="L140" s="3" t="s">
        <v>93</v>
      </c>
      <c r="M140" s="8">
        <v>49.14</v>
      </c>
      <c r="N140" s="8">
        <v>168.9</v>
      </c>
      <c r="S140" s="3" t="s">
        <v>19</v>
      </c>
      <c r="T140" s="8">
        <v>112.94999999999999</v>
      </c>
      <c r="U140" s="5">
        <v>5</v>
      </c>
      <c r="V140" s="8">
        <v>102.41</v>
      </c>
      <c r="W140" s="5">
        <v>5</v>
      </c>
    </row>
    <row r="141" spans="2:23" x14ac:dyDescent="0.35">
      <c r="B141" s="3">
        <v>1088</v>
      </c>
      <c r="C141" s="4">
        <v>9</v>
      </c>
      <c r="L141" s="3" t="s">
        <v>60</v>
      </c>
      <c r="M141" s="8">
        <v>138.57</v>
      </c>
      <c r="N141" s="8">
        <v>76.97</v>
      </c>
      <c r="S141" s="3" t="s">
        <v>58</v>
      </c>
      <c r="T141" s="8">
        <v>129.09</v>
      </c>
      <c r="U141" s="5">
        <v>7</v>
      </c>
      <c r="V141" s="8">
        <v>84.850000000000009</v>
      </c>
      <c r="W141" s="5">
        <v>5</v>
      </c>
    </row>
    <row r="142" spans="2:23" x14ac:dyDescent="0.35">
      <c r="B142" s="3">
        <v>1089</v>
      </c>
      <c r="C142" s="4">
        <v>8</v>
      </c>
      <c r="L142" s="3" t="s">
        <v>19</v>
      </c>
      <c r="M142" s="8">
        <v>112.94999999999999</v>
      </c>
      <c r="N142" s="8">
        <v>102.41</v>
      </c>
      <c r="S142" s="3" t="s">
        <v>54</v>
      </c>
      <c r="T142" s="8">
        <v>85.38</v>
      </c>
      <c r="U142" s="5">
        <v>5</v>
      </c>
      <c r="V142" s="8">
        <v>126.19</v>
      </c>
      <c r="W142" s="5">
        <v>4</v>
      </c>
    </row>
    <row r="143" spans="2:23" x14ac:dyDescent="0.35">
      <c r="B143" s="3">
        <v>1090</v>
      </c>
      <c r="C143" s="4">
        <v>9</v>
      </c>
      <c r="L143" s="3" t="s">
        <v>58</v>
      </c>
      <c r="M143" s="8">
        <v>129.09</v>
      </c>
      <c r="N143" s="8">
        <v>84.850000000000009</v>
      </c>
      <c r="S143" s="3" t="s">
        <v>41</v>
      </c>
      <c r="T143" s="8">
        <v>129.77000000000001</v>
      </c>
      <c r="U143" s="5">
        <v>8</v>
      </c>
      <c r="V143" s="8">
        <v>68.599999999999994</v>
      </c>
      <c r="W143" s="5">
        <v>2</v>
      </c>
    </row>
    <row r="144" spans="2:23" x14ac:dyDescent="0.35">
      <c r="B144" s="3">
        <v>1091</v>
      </c>
      <c r="C144" s="4">
        <v>8</v>
      </c>
      <c r="L144" s="3" t="s">
        <v>54</v>
      </c>
      <c r="M144" s="8">
        <v>85.38</v>
      </c>
      <c r="N144" s="8">
        <v>126.19</v>
      </c>
      <c r="S144" s="3" t="s">
        <v>35</v>
      </c>
      <c r="T144" s="8">
        <v>125.12</v>
      </c>
      <c r="U144" s="5">
        <v>6</v>
      </c>
      <c r="V144" s="8">
        <v>69.42</v>
      </c>
      <c r="W144" s="5">
        <v>3</v>
      </c>
    </row>
    <row r="145" spans="2:23" x14ac:dyDescent="0.35">
      <c r="B145" s="3">
        <v>1092</v>
      </c>
      <c r="C145" s="4">
        <v>8</v>
      </c>
      <c r="L145" s="3" t="s">
        <v>74</v>
      </c>
      <c r="M145" s="8">
        <v>202.57999999999998</v>
      </c>
      <c r="N145" s="8">
        <v>7.8</v>
      </c>
      <c r="S145" s="3" t="s">
        <v>92</v>
      </c>
      <c r="T145" s="8">
        <v>54.3</v>
      </c>
      <c r="U145" s="5">
        <v>3</v>
      </c>
      <c r="V145" s="8">
        <v>134.52999999999997</v>
      </c>
      <c r="W145" s="5">
        <v>6</v>
      </c>
    </row>
    <row r="146" spans="2:23" x14ac:dyDescent="0.35">
      <c r="B146" s="3">
        <v>1093</v>
      </c>
      <c r="C146" s="4">
        <v>1</v>
      </c>
      <c r="L146" s="3" t="s">
        <v>104</v>
      </c>
      <c r="M146" s="8">
        <v>1341.76</v>
      </c>
      <c r="N146" s="8">
        <v>1025.82</v>
      </c>
      <c r="S146" s="3" t="s">
        <v>27</v>
      </c>
      <c r="T146" s="8">
        <v>23.52</v>
      </c>
      <c r="U146" s="5">
        <v>2</v>
      </c>
      <c r="V146" s="8">
        <v>122.88000000000001</v>
      </c>
      <c r="W146" s="5">
        <v>7</v>
      </c>
    </row>
    <row r="147" spans="2:23" x14ac:dyDescent="0.35">
      <c r="B147" s="3">
        <v>1094</v>
      </c>
      <c r="C147" s="4">
        <v>5</v>
      </c>
      <c r="S147" s="3" t="s">
        <v>104</v>
      </c>
      <c r="T147" s="8">
        <v>1211.2399999999998</v>
      </c>
      <c r="U147" s="5">
        <v>58</v>
      </c>
      <c r="V147" s="8">
        <v>1004.3100000000002</v>
      </c>
      <c r="W147" s="5">
        <v>43</v>
      </c>
    </row>
    <row r="148" spans="2:23" x14ac:dyDescent="0.35">
      <c r="B148" s="3">
        <v>1095</v>
      </c>
      <c r="C148" s="4">
        <v>4</v>
      </c>
    </row>
    <row r="149" spans="2:23" x14ac:dyDescent="0.35">
      <c r="B149" s="3">
        <v>1096</v>
      </c>
      <c r="C149" s="4">
        <v>2</v>
      </c>
    </row>
    <row r="150" spans="2:23" x14ac:dyDescent="0.35">
      <c r="B150" s="3">
        <v>1097</v>
      </c>
      <c r="C150" s="4">
        <v>8</v>
      </c>
    </row>
    <row r="151" spans="2:23" x14ac:dyDescent="0.35">
      <c r="B151" s="3">
        <v>1098</v>
      </c>
      <c r="C151" s="4">
        <v>3</v>
      </c>
    </row>
    <row r="152" spans="2:23" x14ac:dyDescent="0.35">
      <c r="B152" s="3">
        <v>1099</v>
      </c>
      <c r="C152" s="4">
        <v>4</v>
      </c>
    </row>
    <row r="153" spans="2:23" x14ac:dyDescent="0.35">
      <c r="B153" s="3">
        <v>1101</v>
      </c>
      <c r="C153" s="4">
        <v>9</v>
      </c>
    </row>
    <row r="154" spans="2:23" x14ac:dyDescent="0.35">
      <c r="B154" s="3">
        <v>1102</v>
      </c>
      <c r="C154" s="4">
        <v>2</v>
      </c>
    </row>
    <row r="155" spans="2:23" x14ac:dyDescent="0.35">
      <c r="B155" s="3">
        <v>1103</v>
      </c>
      <c r="C155" s="4">
        <v>3</v>
      </c>
    </row>
    <row r="156" spans="2:23" x14ac:dyDescent="0.35">
      <c r="B156" s="3">
        <v>1104</v>
      </c>
      <c r="C156" s="4">
        <v>4</v>
      </c>
    </row>
    <row r="157" spans="2:23" x14ac:dyDescent="0.35">
      <c r="B157" s="3">
        <v>1105</v>
      </c>
      <c r="C157" s="4">
        <v>1</v>
      </c>
    </row>
    <row r="158" spans="2:23" x14ac:dyDescent="0.35">
      <c r="B158" s="3">
        <v>1106</v>
      </c>
      <c r="C158" s="4">
        <v>7</v>
      </c>
    </row>
    <row r="159" spans="2:23" x14ac:dyDescent="0.35">
      <c r="B159" s="3">
        <v>1107</v>
      </c>
      <c r="C159" s="4">
        <v>2</v>
      </c>
    </row>
    <row r="160" spans="2:23" x14ac:dyDescent="0.35">
      <c r="B160" s="3">
        <v>1108</v>
      </c>
      <c r="C160" s="4">
        <v>5</v>
      </c>
    </row>
    <row r="161" spans="2:3" x14ac:dyDescent="0.35">
      <c r="B161" s="3">
        <v>1109</v>
      </c>
      <c r="C161" s="4">
        <v>1</v>
      </c>
    </row>
    <row r="162" spans="2:3" x14ac:dyDescent="0.35">
      <c r="B162" s="3">
        <v>1110</v>
      </c>
      <c r="C162" s="4">
        <v>3</v>
      </c>
    </row>
    <row r="163" spans="2:3" x14ac:dyDescent="0.35">
      <c r="B163" s="3">
        <v>1111</v>
      </c>
      <c r="C163" s="4">
        <v>2</v>
      </c>
    </row>
    <row r="164" spans="2:3" x14ac:dyDescent="0.35">
      <c r="B164" s="3">
        <v>1112</v>
      </c>
      <c r="C164" s="4">
        <v>1</v>
      </c>
    </row>
    <row r="165" spans="2:3" x14ac:dyDescent="0.35">
      <c r="B165" s="3">
        <v>1113</v>
      </c>
      <c r="C165" s="4">
        <v>7</v>
      </c>
    </row>
    <row r="166" spans="2:3" x14ac:dyDescent="0.35">
      <c r="B166" s="3">
        <v>1114</v>
      </c>
      <c r="C166" s="4">
        <v>5</v>
      </c>
    </row>
    <row r="167" spans="2:3" x14ac:dyDescent="0.35">
      <c r="B167" s="3">
        <v>1115</v>
      </c>
      <c r="C167" s="4">
        <v>1</v>
      </c>
    </row>
    <row r="168" spans="2:3" x14ac:dyDescent="0.35">
      <c r="B168" s="3">
        <v>1116</v>
      </c>
      <c r="C168" s="4">
        <v>6</v>
      </c>
    </row>
    <row r="169" spans="2:3" x14ac:dyDescent="0.35">
      <c r="B169" s="3">
        <v>1117</v>
      </c>
      <c r="C169" s="4">
        <v>5</v>
      </c>
    </row>
    <row r="170" spans="2:3" x14ac:dyDescent="0.35">
      <c r="B170" s="3">
        <v>1118</v>
      </c>
      <c r="C170" s="4">
        <v>3</v>
      </c>
    </row>
    <row r="171" spans="2:3" x14ac:dyDescent="0.35">
      <c r="B171" s="3">
        <v>1119</v>
      </c>
      <c r="C171" s="4">
        <v>7</v>
      </c>
    </row>
    <row r="172" spans="2:3" x14ac:dyDescent="0.35">
      <c r="B172" s="3">
        <v>1120</v>
      </c>
      <c r="C172" s="4">
        <v>9</v>
      </c>
    </row>
    <row r="173" spans="2:3" x14ac:dyDescent="0.35">
      <c r="B173" s="3">
        <v>1121</v>
      </c>
      <c r="C173" s="4">
        <v>9</v>
      </c>
    </row>
    <row r="174" spans="2:3" x14ac:dyDescent="0.35">
      <c r="B174" s="3">
        <v>1122</v>
      </c>
      <c r="C174" s="4">
        <v>9</v>
      </c>
    </row>
    <row r="175" spans="2:3" x14ac:dyDescent="0.35">
      <c r="B175" s="3">
        <v>1123</v>
      </c>
      <c r="C175" s="4">
        <v>2</v>
      </c>
    </row>
    <row r="176" spans="2:3" x14ac:dyDescent="0.35">
      <c r="B176" s="3">
        <v>1124</v>
      </c>
      <c r="C176" s="4">
        <v>3</v>
      </c>
    </row>
    <row r="177" spans="2:3" x14ac:dyDescent="0.35">
      <c r="B177" s="3">
        <v>1125</v>
      </c>
      <c r="C177" s="4">
        <v>7</v>
      </c>
    </row>
    <row r="178" spans="2:3" x14ac:dyDescent="0.35">
      <c r="B178" s="3">
        <v>1126</v>
      </c>
      <c r="C178" s="4">
        <v>5</v>
      </c>
    </row>
    <row r="179" spans="2:3" x14ac:dyDescent="0.35">
      <c r="B179" s="3">
        <v>1127</v>
      </c>
      <c r="C179" s="4">
        <v>2</v>
      </c>
    </row>
    <row r="180" spans="2:3" x14ac:dyDescent="0.35">
      <c r="B180" s="3">
        <v>1128</v>
      </c>
      <c r="C180" s="4">
        <v>3</v>
      </c>
    </row>
    <row r="181" spans="2:3" x14ac:dyDescent="0.35">
      <c r="B181" s="3">
        <v>1129</v>
      </c>
      <c r="C181" s="4">
        <v>6</v>
      </c>
    </row>
    <row r="182" spans="2:3" x14ac:dyDescent="0.35">
      <c r="B182" s="3">
        <v>1130</v>
      </c>
      <c r="C182" s="4">
        <v>7</v>
      </c>
    </row>
    <row r="183" spans="2:3" x14ac:dyDescent="0.35">
      <c r="B183" s="3">
        <v>1131</v>
      </c>
      <c r="C183" s="4">
        <v>9</v>
      </c>
    </row>
    <row r="184" spans="2:3" x14ac:dyDescent="0.35">
      <c r="B184" s="3">
        <v>1132</v>
      </c>
      <c r="C184" s="4">
        <v>1</v>
      </c>
    </row>
    <row r="185" spans="2:3" x14ac:dyDescent="0.35">
      <c r="B185" s="3">
        <v>1133</v>
      </c>
      <c r="C185" s="4">
        <v>7</v>
      </c>
    </row>
    <row r="186" spans="2:3" x14ac:dyDescent="0.35">
      <c r="B186" s="3">
        <v>1134</v>
      </c>
      <c r="C186" s="4">
        <v>8</v>
      </c>
    </row>
    <row r="187" spans="2:3" x14ac:dyDescent="0.35">
      <c r="B187" s="3">
        <v>1135</v>
      </c>
      <c r="C187" s="4">
        <v>3</v>
      </c>
    </row>
    <row r="188" spans="2:3" x14ac:dyDescent="0.35">
      <c r="B188" s="3">
        <v>1136</v>
      </c>
      <c r="C188" s="4">
        <v>4</v>
      </c>
    </row>
    <row r="189" spans="2:3" x14ac:dyDescent="0.35">
      <c r="B189" s="3">
        <v>1138</v>
      </c>
      <c r="C189" s="4">
        <v>7</v>
      </c>
    </row>
    <row r="190" spans="2:3" x14ac:dyDescent="0.35">
      <c r="B190" s="3">
        <v>1139</v>
      </c>
      <c r="C190" s="4">
        <v>4</v>
      </c>
    </row>
    <row r="191" spans="2:3" x14ac:dyDescent="0.35">
      <c r="B191" s="3">
        <v>1140</v>
      </c>
      <c r="C191" s="4">
        <v>8</v>
      </c>
    </row>
    <row r="192" spans="2:3" x14ac:dyDescent="0.35">
      <c r="B192" s="3">
        <v>1141</v>
      </c>
      <c r="C192" s="4">
        <v>5</v>
      </c>
    </row>
    <row r="193" spans="2:3" x14ac:dyDescent="0.35">
      <c r="B193" s="3">
        <v>1142</v>
      </c>
      <c r="C193" s="4">
        <v>1</v>
      </c>
    </row>
    <row r="194" spans="2:3" x14ac:dyDescent="0.35">
      <c r="B194" s="3">
        <v>1143</v>
      </c>
      <c r="C194" s="4">
        <v>4</v>
      </c>
    </row>
    <row r="195" spans="2:3" x14ac:dyDescent="0.35">
      <c r="B195" s="3">
        <v>1144</v>
      </c>
      <c r="C195" s="4">
        <v>3</v>
      </c>
    </row>
    <row r="196" spans="2:3" x14ac:dyDescent="0.35">
      <c r="B196" s="3">
        <v>1145</v>
      </c>
      <c r="C196" s="4">
        <v>9</v>
      </c>
    </row>
    <row r="197" spans="2:3" x14ac:dyDescent="0.35">
      <c r="B197" s="3">
        <v>1146</v>
      </c>
      <c r="C197" s="4">
        <v>8</v>
      </c>
    </row>
    <row r="198" spans="2:3" x14ac:dyDescent="0.35">
      <c r="B198" s="3">
        <v>1147</v>
      </c>
      <c r="C198" s="4">
        <v>1</v>
      </c>
    </row>
    <row r="199" spans="2:3" x14ac:dyDescent="0.35">
      <c r="B199" s="3">
        <v>1148</v>
      </c>
      <c r="C199" s="4">
        <v>6</v>
      </c>
    </row>
    <row r="200" spans="2:3" x14ac:dyDescent="0.35">
      <c r="B200" s="3">
        <v>1149</v>
      </c>
      <c r="C200" s="4">
        <v>9</v>
      </c>
    </row>
    <row r="201" spans="2:3" x14ac:dyDescent="0.35">
      <c r="B201" s="3">
        <v>1150</v>
      </c>
      <c r="C201" s="4">
        <v>7</v>
      </c>
    </row>
    <row r="202" spans="2:3" x14ac:dyDescent="0.35">
      <c r="B202" s="3">
        <v>1151</v>
      </c>
      <c r="C202" s="4">
        <v>4</v>
      </c>
    </row>
    <row r="203" spans="2:3" x14ac:dyDescent="0.35">
      <c r="B203" s="3">
        <v>1152</v>
      </c>
      <c r="C203" s="4">
        <v>1</v>
      </c>
    </row>
    <row r="204" spans="2:3" x14ac:dyDescent="0.35">
      <c r="B204" s="3">
        <v>1153</v>
      </c>
      <c r="C204" s="4">
        <v>2</v>
      </c>
    </row>
    <row r="205" spans="2:3" x14ac:dyDescent="0.35">
      <c r="B205" s="3">
        <v>1154</v>
      </c>
      <c r="C205" s="4">
        <v>5</v>
      </c>
    </row>
    <row r="206" spans="2:3" x14ac:dyDescent="0.35">
      <c r="B206" s="3">
        <v>1155</v>
      </c>
      <c r="C206" s="4">
        <v>5</v>
      </c>
    </row>
    <row r="207" spans="2:3" x14ac:dyDescent="0.35">
      <c r="B207" s="3">
        <v>1156</v>
      </c>
      <c r="C207" s="4">
        <v>8</v>
      </c>
    </row>
    <row r="208" spans="2:3" x14ac:dyDescent="0.35">
      <c r="B208" s="3">
        <v>1157</v>
      </c>
      <c r="C208" s="4">
        <v>6</v>
      </c>
    </row>
    <row r="209" spans="2:3" x14ac:dyDescent="0.35">
      <c r="B209" s="3">
        <v>1158</v>
      </c>
      <c r="C209" s="4">
        <v>8</v>
      </c>
    </row>
    <row r="210" spans="2:3" x14ac:dyDescent="0.35">
      <c r="B210" s="3">
        <v>1159</v>
      </c>
      <c r="C210" s="4">
        <v>2</v>
      </c>
    </row>
    <row r="211" spans="2:3" x14ac:dyDescent="0.35">
      <c r="B211" s="3">
        <v>1160</v>
      </c>
      <c r="C211" s="4">
        <v>3</v>
      </c>
    </row>
    <row r="212" spans="2:3" x14ac:dyDescent="0.35">
      <c r="B212" s="3">
        <v>1161</v>
      </c>
      <c r="C212" s="4">
        <v>6</v>
      </c>
    </row>
    <row r="213" spans="2:3" x14ac:dyDescent="0.35">
      <c r="B213" s="3">
        <v>1162</v>
      </c>
      <c r="C213" s="4">
        <v>3</v>
      </c>
    </row>
    <row r="214" spans="2:3" x14ac:dyDescent="0.35">
      <c r="B214" s="3">
        <v>1163</v>
      </c>
      <c r="C214" s="4">
        <v>6</v>
      </c>
    </row>
    <row r="215" spans="2:3" x14ac:dyDescent="0.35">
      <c r="B215" s="3">
        <v>1164</v>
      </c>
      <c r="C215" s="4">
        <v>6</v>
      </c>
    </row>
    <row r="216" spans="2:3" x14ac:dyDescent="0.35">
      <c r="B216" s="3">
        <v>1165</v>
      </c>
      <c r="C216" s="4">
        <v>2</v>
      </c>
    </row>
    <row r="217" spans="2:3" x14ac:dyDescent="0.35">
      <c r="B217" s="3">
        <v>1167</v>
      </c>
      <c r="C217" s="4">
        <v>2</v>
      </c>
    </row>
    <row r="218" spans="2:3" x14ac:dyDescent="0.35">
      <c r="B218" s="3">
        <v>1168</v>
      </c>
      <c r="C218" s="4">
        <v>6</v>
      </c>
    </row>
    <row r="219" spans="2:3" x14ac:dyDescent="0.35">
      <c r="B219" s="3">
        <v>1169</v>
      </c>
      <c r="C219" s="4">
        <v>1</v>
      </c>
    </row>
    <row r="220" spans="2:3" x14ac:dyDescent="0.35">
      <c r="B220" s="3">
        <v>1170</v>
      </c>
      <c r="C220" s="4">
        <v>3</v>
      </c>
    </row>
    <row r="221" spans="2:3" x14ac:dyDescent="0.35">
      <c r="B221" s="3">
        <v>1171</v>
      </c>
      <c r="C221" s="4">
        <v>2</v>
      </c>
    </row>
    <row r="222" spans="2:3" x14ac:dyDescent="0.35">
      <c r="B222" s="3">
        <v>1172</v>
      </c>
      <c r="C222" s="4">
        <v>7</v>
      </c>
    </row>
    <row r="223" spans="2:3" x14ac:dyDescent="0.35">
      <c r="B223" s="3">
        <v>1173</v>
      </c>
      <c r="C223" s="4">
        <v>4</v>
      </c>
    </row>
    <row r="224" spans="2:3" x14ac:dyDescent="0.35">
      <c r="B224" s="3">
        <v>1174</v>
      </c>
      <c r="C224" s="4">
        <v>8</v>
      </c>
    </row>
    <row r="225" spans="2:3" x14ac:dyDescent="0.35">
      <c r="B225" s="3">
        <v>1175</v>
      </c>
      <c r="C225" s="4">
        <v>6</v>
      </c>
    </row>
    <row r="226" spans="2:3" x14ac:dyDescent="0.35">
      <c r="B226" s="3">
        <v>1176</v>
      </c>
      <c r="C226" s="4">
        <v>4</v>
      </c>
    </row>
    <row r="227" spans="2:3" x14ac:dyDescent="0.35">
      <c r="B227" s="3">
        <v>1177</v>
      </c>
      <c r="C227" s="4">
        <v>5</v>
      </c>
    </row>
    <row r="228" spans="2:3" x14ac:dyDescent="0.35">
      <c r="B228" s="3">
        <v>1178</v>
      </c>
      <c r="C228" s="4">
        <v>9</v>
      </c>
    </row>
    <row r="229" spans="2:3" x14ac:dyDescent="0.35">
      <c r="B229" s="3">
        <v>1179</v>
      </c>
      <c r="C229" s="4">
        <v>7</v>
      </c>
    </row>
    <row r="230" spans="2:3" x14ac:dyDescent="0.35">
      <c r="B230" s="3">
        <v>1180</v>
      </c>
      <c r="C230" s="4">
        <v>9</v>
      </c>
    </row>
    <row r="231" spans="2:3" x14ac:dyDescent="0.35">
      <c r="B231" s="3">
        <v>1181</v>
      </c>
      <c r="C231" s="4">
        <v>7</v>
      </c>
    </row>
    <row r="232" spans="2:3" x14ac:dyDescent="0.35">
      <c r="B232" s="3">
        <v>1182</v>
      </c>
      <c r="C232" s="4">
        <v>1</v>
      </c>
    </row>
    <row r="233" spans="2:3" x14ac:dyDescent="0.35">
      <c r="B233" s="3">
        <v>1183</v>
      </c>
      <c r="C233" s="4">
        <v>8</v>
      </c>
    </row>
    <row r="234" spans="2:3" x14ac:dyDescent="0.35">
      <c r="B234" s="3">
        <v>1184</v>
      </c>
      <c r="C234" s="4">
        <v>4</v>
      </c>
    </row>
    <row r="235" spans="2:3" x14ac:dyDescent="0.35">
      <c r="B235" s="3">
        <v>1185</v>
      </c>
      <c r="C235" s="4">
        <v>3</v>
      </c>
    </row>
    <row r="236" spans="2:3" x14ac:dyDescent="0.35">
      <c r="B236" s="3">
        <v>1186</v>
      </c>
      <c r="C236" s="4">
        <v>7</v>
      </c>
    </row>
    <row r="237" spans="2:3" x14ac:dyDescent="0.35">
      <c r="B237" s="3">
        <v>1187</v>
      </c>
      <c r="C237" s="4">
        <v>3</v>
      </c>
    </row>
    <row r="238" spans="2:3" x14ac:dyDescent="0.35">
      <c r="B238" s="3">
        <v>1188</v>
      </c>
      <c r="C238" s="4">
        <v>8</v>
      </c>
    </row>
    <row r="239" spans="2:3" x14ac:dyDescent="0.35">
      <c r="B239" s="3">
        <v>1189</v>
      </c>
      <c r="C239" s="4">
        <v>6</v>
      </c>
    </row>
    <row r="240" spans="2:3" x14ac:dyDescent="0.35">
      <c r="B240" s="3">
        <v>1190</v>
      </c>
      <c r="C240" s="4">
        <v>5</v>
      </c>
    </row>
    <row r="241" spans="2:3" x14ac:dyDescent="0.35">
      <c r="B241" s="3">
        <v>1191</v>
      </c>
      <c r="C241" s="4">
        <v>4</v>
      </c>
    </row>
    <row r="242" spans="2:3" x14ac:dyDescent="0.35">
      <c r="B242" s="3">
        <v>1192</v>
      </c>
      <c r="C242" s="4">
        <v>8</v>
      </c>
    </row>
    <row r="243" spans="2:3" x14ac:dyDescent="0.35">
      <c r="B243" s="3">
        <v>1193</v>
      </c>
      <c r="C243" s="4">
        <v>8</v>
      </c>
    </row>
    <row r="244" spans="2:3" x14ac:dyDescent="0.35">
      <c r="B244" s="3">
        <v>1194</v>
      </c>
      <c r="C244" s="4">
        <v>1</v>
      </c>
    </row>
    <row r="245" spans="2:3" x14ac:dyDescent="0.35">
      <c r="B245" s="3">
        <v>1195</v>
      </c>
      <c r="C245" s="4">
        <v>9</v>
      </c>
    </row>
    <row r="246" spans="2:3" x14ac:dyDescent="0.35">
      <c r="B246" s="3">
        <v>1196</v>
      </c>
      <c r="C246" s="4">
        <v>5</v>
      </c>
    </row>
    <row r="247" spans="2:3" x14ac:dyDescent="0.35">
      <c r="B247" s="3">
        <v>1197</v>
      </c>
      <c r="C247" s="4">
        <v>4</v>
      </c>
    </row>
    <row r="248" spans="2:3" x14ac:dyDescent="0.35">
      <c r="B248" s="3">
        <v>1198</v>
      </c>
      <c r="C248" s="4">
        <v>6</v>
      </c>
    </row>
    <row r="249" spans="2:3" x14ac:dyDescent="0.35">
      <c r="B249" s="3">
        <v>1199</v>
      </c>
      <c r="C249" s="4">
        <v>6</v>
      </c>
    </row>
    <row r="250" spans="2:3" x14ac:dyDescent="0.35">
      <c r="B250" s="3">
        <v>1200</v>
      </c>
      <c r="C250" s="4">
        <v>2</v>
      </c>
    </row>
    <row r="251" spans="2:3" x14ac:dyDescent="0.35">
      <c r="B251" s="3">
        <v>1201</v>
      </c>
      <c r="C251" s="4">
        <v>8</v>
      </c>
    </row>
    <row r="252" spans="2:3" x14ac:dyDescent="0.35">
      <c r="B252" s="3">
        <v>1202</v>
      </c>
      <c r="C252" s="4">
        <v>7</v>
      </c>
    </row>
    <row r="253" spans="2:3" x14ac:dyDescent="0.35">
      <c r="B253" s="3">
        <v>1203</v>
      </c>
      <c r="C253" s="4">
        <v>1</v>
      </c>
    </row>
    <row r="254" spans="2:3" x14ac:dyDescent="0.35">
      <c r="B254" s="3">
        <v>1204</v>
      </c>
      <c r="C254" s="4">
        <v>5</v>
      </c>
    </row>
    <row r="255" spans="2:3" x14ac:dyDescent="0.35">
      <c r="B255" s="3">
        <v>1205</v>
      </c>
      <c r="C255" s="4">
        <v>6</v>
      </c>
    </row>
    <row r="256" spans="2:3" x14ac:dyDescent="0.35">
      <c r="B256" s="3">
        <v>1206</v>
      </c>
      <c r="C256" s="4">
        <v>4</v>
      </c>
    </row>
    <row r="257" spans="2:3" x14ac:dyDescent="0.35">
      <c r="B257" s="3">
        <v>1207</v>
      </c>
      <c r="C257" s="4">
        <v>2</v>
      </c>
    </row>
    <row r="258" spans="2:3" x14ac:dyDescent="0.35">
      <c r="B258" s="3">
        <v>1208</v>
      </c>
      <c r="C258" s="4">
        <v>4</v>
      </c>
    </row>
    <row r="259" spans="2:3" x14ac:dyDescent="0.35">
      <c r="B259" s="3">
        <v>1209</v>
      </c>
      <c r="C259" s="4">
        <v>1</v>
      </c>
    </row>
    <row r="260" spans="2:3" x14ac:dyDescent="0.35">
      <c r="B260" s="3">
        <v>1210</v>
      </c>
      <c r="C260" s="4">
        <v>7</v>
      </c>
    </row>
    <row r="261" spans="2:3" x14ac:dyDescent="0.35">
      <c r="B261" s="3">
        <v>1211</v>
      </c>
      <c r="C261" s="4">
        <v>2</v>
      </c>
    </row>
    <row r="262" spans="2:3" x14ac:dyDescent="0.35">
      <c r="B262" s="3">
        <v>1212</v>
      </c>
      <c r="C262" s="4">
        <v>2</v>
      </c>
    </row>
    <row r="263" spans="2:3" x14ac:dyDescent="0.35">
      <c r="B263" s="3">
        <v>1213</v>
      </c>
      <c r="C263" s="4">
        <v>9</v>
      </c>
    </row>
    <row r="264" spans="2:3" x14ac:dyDescent="0.35">
      <c r="B264" s="3">
        <v>1214</v>
      </c>
      <c r="C264" s="4">
        <v>5</v>
      </c>
    </row>
    <row r="265" spans="2:3" x14ac:dyDescent="0.35">
      <c r="B265" s="3">
        <v>1215</v>
      </c>
      <c r="C265" s="4">
        <v>2</v>
      </c>
    </row>
    <row r="266" spans="2:3" x14ac:dyDescent="0.35">
      <c r="B266" s="3">
        <v>1216</v>
      </c>
      <c r="C266" s="4">
        <v>9</v>
      </c>
    </row>
    <row r="267" spans="2:3" x14ac:dyDescent="0.35">
      <c r="B267" s="3">
        <v>1217</v>
      </c>
      <c r="C267" s="4">
        <v>9</v>
      </c>
    </row>
    <row r="268" spans="2:3" x14ac:dyDescent="0.35">
      <c r="B268" s="3">
        <v>1218</v>
      </c>
      <c r="C268" s="4">
        <v>1</v>
      </c>
    </row>
    <row r="269" spans="2:3" x14ac:dyDescent="0.35">
      <c r="B269" s="3">
        <v>1219</v>
      </c>
      <c r="C269" s="4">
        <v>3</v>
      </c>
    </row>
    <row r="270" spans="2:3" x14ac:dyDescent="0.35">
      <c r="B270" s="3">
        <v>1220</v>
      </c>
      <c r="C270" s="4">
        <v>4</v>
      </c>
    </row>
    <row r="271" spans="2:3" x14ac:dyDescent="0.35">
      <c r="B271" s="3">
        <v>1221</v>
      </c>
      <c r="C271" s="4">
        <v>7</v>
      </c>
    </row>
    <row r="272" spans="2:3" x14ac:dyDescent="0.35">
      <c r="B272" s="3">
        <v>1222</v>
      </c>
      <c r="C272" s="4">
        <v>4</v>
      </c>
    </row>
    <row r="273" spans="2:3" x14ac:dyDescent="0.35">
      <c r="B273" s="3">
        <v>1223</v>
      </c>
      <c r="C273" s="4">
        <v>2</v>
      </c>
    </row>
    <row r="274" spans="2:3" x14ac:dyDescent="0.35">
      <c r="B274" s="3">
        <v>1224</v>
      </c>
      <c r="C274" s="4">
        <v>7</v>
      </c>
    </row>
    <row r="275" spans="2:3" x14ac:dyDescent="0.35">
      <c r="B275" s="3">
        <v>1225</v>
      </c>
      <c r="C275" s="4">
        <v>6</v>
      </c>
    </row>
    <row r="276" spans="2:3" x14ac:dyDescent="0.35">
      <c r="B276" s="3">
        <v>1226</v>
      </c>
      <c r="C276" s="4">
        <v>3</v>
      </c>
    </row>
    <row r="277" spans="2:3" x14ac:dyDescent="0.35">
      <c r="B277" s="3">
        <v>1227</v>
      </c>
      <c r="C277" s="4">
        <v>6</v>
      </c>
    </row>
    <row r="278" spans="2:3" x14ac:dyDescent="0.35">
      <c r="B278" s="3">
        <v>1228</v>
      </c>
      <c r="C278" s="4">
        <v>6</v>
      </c>
    </row>
    <row r="279" spans="2:3" x14ac:dyDescent="0.35">
      <c r="B279" s="3">
        <v>1229</v>
      </c>
      <c r="C279" s="4">
        <v>5</v>
      </c>
    </row>
    <row r="280" spans="2:3" x14ac:dyDescent="0.35">
      <c r="B280" s="3">
        <v>1230</v>
      </c>
      <c r="C280" s="4">
        <v>4</v>
      </c>
    </row>
    <row r="281" spans="2:3" x14ac:dyDescent="0.35">
      <c r="B281" s="3">
        <v>1231</v>
      </c>
      <c r="C281" s="4">
        <v>1</v>
      </c>
    </row>
    <row r="282" spans="2:3" x14ac:dyDescent="0.35">
      <c r="B282" s="3">
        <v>1232</v>
      </c>
      <c r="C282" s="4">
        <v>6</v>
      </c>
    </row>
    <row r="283" spans="2:3" x14ac:dyDescent="0.35">
      <c r="B283" s="3">
        <v>1233</v>
      </c>
      <c r="C283" s="4">
        <v>2</v>
      </c>
    </row>
    <row r="284" spans="2:3" x14ac:dyDescent="0.35">
      <c r="B284" s="3">
        <v>1234</v>
      </c>
      <c r="C284" s="4">
        <v>3</v>
      </c>
    </row>
    <row r="285" spans="2:3" x14ac:dyDescent="0.35">
      <c r="B285" s="3">
        <v>1235</v>
      </c>
      <c r="C285" s="4">
        <v>8</v>
      </c>
    </row>
    <row r="286" spans="2:3" x14ac:dyDescent="0.35">
      <c r="B286" s="3">
        <v>1236</v>
      </c>
      <c r="C286" s="4">
        <v>6</v>
      </c>
    </row>
    <row r="287" spans="2:3" x14ac:dyDescent="0.35">
      <c r="B287" s="3">
        <v>1237</v>
      </c>
      <c r="C287" s="4">
        <v>3</v>
      </c>
    </row>
    <row r="288" spans="2:3" x14ac:dyDescent="0.35">
      <c r="B288" s="3">
        <v>1238</v>
      </c>
      <c r="C288" s="4">
        <v>7</v>
      </c>
    </row>
    <row r="289" spans="2:3" x14ac:dyDescent="0.35">
      <c r="B289" s="3">
        <v>1239</v>
      </c>
      <c r="C289" s="4">
        <v>4</v>
      </c>
    </row>
    <row r="290" spans="2:3" x14ac:dyDescent="0.35">
      <c r="B290" s="3">
        <v>1240</v>
      </c>
      <c r="C290" s="4">
        <v>9</v>
      </c>
    </row>
    <row r="291" spans="2:3" x14ac:dyDescent="0.35">
      <c r="B291" s="3">
        <v>1241</v>
      </c>
      <c r="C291" s="4">
        <v>5</v>
      </c>
    </row>
    <row r="292" spans="2:3" x14ac:dyDescent="0.35">
      <c r="B292" s="3">
        <v>1242</v>
      </c>
      <c r="C292" s="4">
        <v>3</v>
      </c>
    </row>
    <row r="293" spans="2:3" x14ac:dyDescent="0.35">
      <c r="B293" s="3">
        <v>1243</v>
      </c>
      <c r="C293" s="4">
        <v>2</v>
      </c>
    </row>
    <row r="294" spans="2:3" x14ac:dyDescent="0.35">
      <c r="B294" s="3">
        <v>1244</v>
      </c>
      <c r="C294" s="4">
        <v>2</v>
      </c>
    </row>
    <row r="295" spans="2:3" x14ac:dyDescent="0.35">
      <c r="B295" s="3">
        <v>1245</v>
      </c>
      <c r="C295" s="4">
        <v>3</v>
      </c>
    </row>
    <row r="296" spans="2:3" x14ac:dyDescent="0.35">
      <c r="B296" s="3">
        <v>1246</v>
      </c>
      <c r="C296" s="4">
        <v>2</v>
      </c>
    </row>
    <row r="297" spans="2:3" x14ac:dyDescent="0.35">
      <c r="B297" s="3">
        <v>1247</v>
      </c>
      <c r="C297" s="4">
        <v>4</v>
      </c>
    </row>
    <row r="298" spans="2:3" x14ac:dyDescent="0.35">
      <c r="B298" s="3">
        <v>1248</v>
      </c>
      <c r="C298" s="4">
        <v>2</v>
      </c>
    </row>
    <row r="299" spans="2:3" x14ac:dyDescent="0.35">
      <c r="B299" s="3">
        <v>1249</v>
      </c>
      <c r="C299" s="4">
        <v>9</v>
      </c>
    </row>
    <row r="300" spans="2:3" x14ac:dyDescent="0.35">
      <c r="B300" s="3">
        <v>1250</v>
      </c>
      <c r="C300" s="4">
        <v>2</v>
      </c>
    </row>
    <row r="301" spans="2:3" x14ac:dyDescent="0.35">
      <c r="B301" s="3">
        <v>1251</v>
      </c>
      <c r="C301" s="4">
        <v>9</v>
      </c>
    </row>
    <row r="302" spans="2:3" x14ac:dyDescent="0.35">
      <c r="B302" s="3">
        <v>1252</v>
      </c>
      <c r="C302" s="4">
        <v>6</v>
      </c>
    </row>
    <row r="303" spans="2:3" x14ac:dyDescent="0.35">
      <c r="B303" s="3">
        <v>1253</v>
      </c>
      <c r="C303" s="4">
        <v>1</v>
      </c>
    </row>
    <row r="304" spans="2:3" x14ac:dyDescent="0.35">
      <c r="B304" s="3">
        <v>1254</v>
      </c>
      <c r="C304" s="4">
        <v>4</v>
      </c>
    </row>
    <row r="305" spans="2:3" x14ac:dyDescent="0.35">
      <c r="B305" s="3">
        <v>1255</v>
      </c>
      <c r="C305" s="4">
        <v>1</v>
      </c>
    </row>
    <row r="306" spans="2:3" x14ac:dyDescent="0.35">
      <c r="B306" s="3">
        <v>1256</v>
      </c>
      <c r="C306" s="4">
        <v>6</v>
      </c>
    </row>
    <row r="307" spans="2:3" x14ac:dyDescent="0.35">
      <c r="B307" s="3">
        <v>1257</v>
      </c>
      <c r="C307" s="4">
        <v>4</v>
      </c>
    </row>
    <row r="308" spans="2:3" x14ac:dyDescent="0.35">
      <c r="B308" s="3">
        <v>1258</v>
      </c>
      <c r="C308" s="4">
        <v>3</v>
      </c>
    </row>
    <row r="309" spans="2:3" x14ac:dyDescent="0.35">
      <c r="B309" s="3">
        <v>1259</v>
      </c>
      <c r="C309" s="4">
        <v>3</v>
      </c>
    </row>
    <row r="310" spans="2:3" x14ac:dyDescent="0.35">
      <c r="B310" s="3">
        <v>1260</v>
      </c>
      <c r="C310" s="4">
        <v>9</v>
      </c>
    </row>
    <row r="311" spans="2:3" x14ac:dyDescent="0.35">
      <c r="B311" s="3">
        <v>1261</v>
      </c>
      <c r="C311" s="4">
        <v>6</v>
      </c>
    </row>
    <row r="312" spans="2:3" x14ac:dyDescent="0.35">
      <c r="B312" s="3">
        <v>1262</v>
      </c>
      <c r="C312" s="4">
        <v>9</v>
      </c>
    </row>
    <row r="313" spans="2:3" x14ac:dyDescent="0.35">
      <c r="B313" s="3">
        <v>1263</v>
      </c>
      <c r="C313" s="4">
        <v>5</v>
      </c>
    </row>
    <row r="314" spans="2:3" x14ac:dyDescent="0.35">
      <c r="B314" s="3">
        <v>1264</v>
      </c>
      <c r="C314" s="4">
        <v>2</v>
      </c>
    </row>
    <row r="315" spans="2:3" x14ac:dyDescent="0.35">
      <c r="B315" s="3">
        <v>1265</v>
      </c>
      <c r="C315" s="4">
        <v>8</v>
      </c>
    </row>
    <row r="316" spans="2:3" x14ac:dyDescent="0.35">
      <c r="B316" s="3">
        <v>1266</v>
      </c>
      <c r="C316" s="4">
        <v>5</v>
      </c>
    </row>
    <row r="317" spans="2:3" x14ac:dyDescent="0.35">
      <c r="B317" s="3">
        <v>1267</v>
      </c>
      <c r="C317" s="4">
        <v>2</v>
      </c>
    </row>
    <row r="318" spans="2:3" x14ac:dyDescent="0.35">
      <c r="B318" s="3">
        <v>1268</v>
      </c>
      <c r="C318" s="4">
        <v>4</v>
      </c>
    </row>
    <row r="319" spans="2:3" x14ac:dyDescent="0.35">
      <c r="B319" s="3">
        <v>1269</v>
      </c>
      <c r="C319" s="4">
        <v>9</v>
      </c>
    </row>
    <row r="320" spans="2:3" x14ac:dyDescent="0.35">
      <c r="B320" s="3">
        <v>1270</v>
      </c>
      <c r="C320" s="4">
        <v>4</v>
      </c>
    </row>
    <row r="321" spans="2:3" x14ac:dyDescent="0.35">
      <c r="B321" s="3">
        <v>1271</v>
      </c>
      <c r="C321" s="4">
        <v>4</v>
      </c>
    </row>
    <row r="322" spans="2:3" x14ac:dyDescent="0.35">
      <c r="B322" s="3">
        <v>1272</v>
      </c>
      <c r="C322" s="4">
        <v>2</v>
      </c>
    </row>
    <row r="323" spans="2:3" x14ac:dyDescent="0.35">
      <c r="B323" s="3">
        <v>1273</v>
      </c>
      <c r="C323" s="4">
        <v>6</v>
      </c>
    </row>
    <row r="324" spans="2:3" x14ac:dyDescent="0.35">
      <c r="B324" s="3">
        <v>1274</v>
      </c>
      <c r="C324" s="4">
        <v>2</v>
      </c>
    </row>
    <row r="325" spans="2:3" x14ac:dyDescent="0.35">
      <c r="B325" s="3">
        <v>1275</v>
      </c>
      <c r="C325" s="4">
        <v>7</v>
      </c>
    </row>
    <row r="326" spans="2:3" x14ac:dyDescent="0.35">
      <c r="B326" s="3">
        <v>1276</v>
      </c>
      <c r="C326" s="4">
        <v>3</v>
      </c>
    </row>
    <row r="327" spans="2:3" x14ac:dyDescent="0.35">
      <c r="B327" s="3">
        <v>1277</v>
      </c>
      <c r="C327" s="4">
        <v>3</v>
      </c>
    </row>
    <row r="328" spans="2:3" x14ac:dyDescent="0.35">
      <c r="B328" s="3">
        <v>1278</v>
      </c>
      <c r="C328" s="4">
        <v>5</v>
      </c>
    </row>
    <row r="329" spans="2:3" x14ac:dyDescent="0.35">
      <c r="B329" s="3">
        <v>1279</v>
      </c>
      <c r="C329" s="4">
        <v>3</v>
      </c>
    </row>
    <row r="330" spans="2:3" x14ac:dyDescent="0.35">
      <c r="B330" s="3">
        <v>1280</v>
      </c>
      <c r="C330" s="4">
        <v>2</v>
      </c>
    </row>
    <row r="331" spans="2:3" x14ac:dyDescent="0.35">
      <c r="B331" s="3">
        <v>1281</v>
      </c>
      <c r="C331" s="4">
        <v>9</v>
      </c>
    </row>
    <row r="332" spans="2:3" x14ac:dyDescent="0.35">
      <c r="B332" s="3">
        <v>1282</v>
      </c>
      <c r="C332" s="4">
        <v>2</v>
      </c>
    </row>
    <row r="333" spans="2:3" x14ac:dyDescent="0.35">
      <c r="B333" s="3">
        <v>1283</v>
      </c>
      <c r="C333" s="4">
        <v>2</v>
      </c>
    </row>
    <row r="334" spans="2:3" x14ac:dyDescent="0.35">
      <c r="B334" s="3">
        <v>1284</v>
      </c>
      <c r="C334" s="4">
        <v>8</v>
      </c>
    </row>
    <row r="335" spans="2:3" x14ac:dyDescent="0.35">
      <c r="B335" s="3">
        <v>1285</v>
      </c>
      <c r="C335" s="4">
        <v>9</v>
      </c>
    </row>
    <row r="336" spans="2:3" x14ac:dyDescent="0.35">
      <c r="B336" s="3">
        <v>1286</v>
      </c>
      <c r="C336" s="4">
        <v>7</v>
      </c>
    </row>
    <row r="337" spans="2:3" x14ac:dyDescent="0.35">
      <c r="B337" s="3">
        <v>1287</v>
      </c>
      <c r="C337" s="4">
        <v>3</v>
      </c>
    </row>
    <row r="338" spans="2:3" x14ac:dyDescent="0.35">
      <c r="B338" s="3">
        <v>1288</v>
      </c>
      <c r="C338" s="4">
        <v>9</v>
      </c>
    </row>
    <row r="339" spans="2:3" x14ac:dyDescent="0.35">
      <c r="B339" s="3">
        <v>1289</v>
      </c>
      <c r="C339" s="4">
        <v>3</v>
      </c>
    </row>
    <row r="340" spans="2:3" x14ac:dyDescent="0.35">
      <c r="B340" s="3">
        <v>1290</v>
      </c>
      <c r="C340" s="4">
        <v>5</v>
      </c>
    </row>
    <row r="341" spans="2:3" x14ac:dyDescent="0.35">
      <c r="B341" s="3">
        <v>1291</v>
      </c>
      <c r="C341" s="4">
        <v>9</v>
      </c>
    </row>
    <row r="342" spans="2:3" x14ac:dyDescent="0.35">
      <c r="B342" s="3">
        <v>1292</v>
      </c>
      <c r="C342" s="4">
        <v>3</v>
      </c>
    </row>
    <row r="343" spans="2:3" x14ac:dyDescent="0.35">
      <c r="B343" s="3">
        <v>1293</v>
      </c>
      <c r="C343" s="4">
        <v>7</v>
      </c>
    </row>
    <row r="344" spans="2:3" x14ac:dyDescent="0.35">
      <c r="B344" s="3">
        <v>1294</v>
      </c>
      <c r="C344" s="4">
        <v>1</v>
      </c>
    </row>
    <row r="345" spans="2:3" x14ac:dyDescent="0.35">
      <c r="B345" s="3">
        <v>1295</v>
      </c>
      <c r="C345" s="4">
        <v>4</v>
      </c>
    </row>
    <row r="346" spans="2:3" x14ac:dyDescent="0.35">
      <c r="B346" s="3">
        <v>1296</v>
      </c>
      <c r="C346" s="4">
        <v>4</v>
      </c>
    </row>
    <row r="347" spans="2:3" x14ac:dyDescent="0.35">
      <c r="B347" s="3">
        <v>1297</v>
      </c>
      <c r="C347" s="4">
        <v>7</v>
      </c>
    </row>
    <row r="348" spans="2:3" x14ac:dyDescent="0.35">
      <c r="B348" s="3">
        <v>1298</v>
      </c>
      <c r="C348" s="4">
        <v>8</v>
      </c>
    </row>
    <row r="349" spans="2:3" x14ac:dyDescent="0.35">
      <c r="B349" s="3">
        <v>1299</v>
      </c>
      <c r="C349" s="4">
        <v>1</v>
      </c>
    </row>
    <row r="350" spans="2:3" x14ac:dyDescent="0.35">
      <c r="B350" s="3">
        <v>1300</v>
      </c>
      <c r="C350" s="4">
        <v>5</v>
      </c>
    </row>
    <row r="351" spans="2:3" x14ac:dyDescent="0.35">
      <c r="B351" s="3">
        <v>1301</v>
      </c>
      <c r="C351" s="4">
        <v>7</v>
      </c>
    </row>
    <row r="352" spans="2:3" x14ac:dyDescent="0.35">
      <c r="B352" s="3">
        <v>1302</v>
      </c>
      <c r="C352" s="4">
        <v>4</v>
      </c>
    </row>
    <row r="353" spans="2:3" x14ac:dyDescent="0.35">
      <c r="B353" s="3">
        <v>1303</v>
      </c>
      <c r="C353" s="4">
        <v>4</v>
      </c>
    </row>
    <row r="354" spans="2:3" x14ac:dyDescent="0.35">
      <c r="B354" s="3">
        <v>1304</v>
      </c>
      <c r="C354" s="4">
        <v>4</v>
      </c>
    </row>
    <row r="355" spans="2:3" x14ac:dyDescent="0.35">
      <c r="B355" s="3">
        <v>1305</v>
      </c>
      <c r="C355" s="4">
        <v>6</v>
      </c>
    </row>
    <row r="356" spans="2:3" x14ac:dyDescent="0.35">
      <c r="B356" s="3">
        <v>1306</v>
      </c>
      <c r="C356" s="4">
        <v>7</v>
      </c>
    </row>
    <row r="357" spans="2:3" x14ac:dyDescent="0.35">
      <c r="B357" s="3">
        <v>1307</v>
      </c>
      <c r="C357" s="4">
        <v>2</v>
      </c>
    </row>
    <row r="358" spans="2:3" x14ac:dyDescent="0.35">
      <c r="B358" s="3">
        <v>1308</v>
      </c>
      <c r="C358" s="4">
        <v>5</v>
      </c>
    </row>
    <row r="359" spans="2:3" x14ac:dyDescent="0.35">
      <c r="B359" s="3">
        <v>1309</v>
      </c>
      <c r="C359" s="4">
        <v>4</v>
      </c>
    </row>
    <row r="360" spans="2:3" x14ac:dyDescent="0.35">
      <c r="B360" s="3">
        <v>1311</v>
      </c>
      <c r="C360" s="4">
        <v>7</v>
      </c>
    </row>
    <row r="361" spans="2:3" x14ac:dyDescent="0.35">
      <c r="B361" s="3">
        <v>1312</v>
      </c>
      <c r="C361" s="4">
        <v>6</v>
      </c>
    </row>
    <row r="362" spans="2:3" x14ac:dyDescent="0.35">
      <c r="B362" s="3">
        <v>1313</v>
      </c>
      <c r="C362" s="4">
        <v>7</v>
      </c>
    </row>
    <row r="363" spans="2:3" x14ac:dyDescent="0.35">
      <c r="B363" s="3">
        <v>1314</v>
      </c>
      <c r="C363" s="4">
        <v>5</v>
      </c>
    </row>
    <row r="364" spans="2:3" x14ac:dyDescent="0.35">
      <c r="B364" s="3">
        <v>1315</v>
      </c>
      <c r="C364" s="4">
        <v>6</v>
      </c>
    </row>
    <row r="365" spans="2:3" x14ac:dyDescent="0.35">
      <c r="B365" s="3">
        <v>1316</v>
      </c>
      <c r="C365" s="4">
        <v>5</v>
      </c>
    </row>
    <row r="366" spans="2:3" x14ac:dyDescent="0.35">
      <c r="B366" s="3">
        <v>1317</v>
      </c>
      <c r="C366" s="4">
        <v>7</v>
      </c>
    </row>
    <row r="367" spans="2:3" x14ac:dyDescent="0.35">
      <c r="B367" s="3">
        <v>1318</v>
      </c>
      <c r="C367" s="4">
        <v>2</v>
      </c>
    </row>
    <row r="368" spans="2:3" x14ac:dyDescent="0.35">
      <c r="B368" s="3">
        <v>1319</v>
      </c>
      <c r="C368" s="4">
        <v>5</v>
      </c>
    </row>
    <row r="369" spans="2:3" x14ac:dyDescent="0.35">
      <c r="B369" s="3">
        <v>1320</v>
      </c>
      <c r="C369" s="4">
        <v>6</v>
      </c>
    </row>
    <row r="370" spans="2:3" x14ac:dyDescent="0.35">
      <c r="B370" s="3">
        <v>1321</v>
      </c>
      <c r="C370" s="4">
        <v>6</v>
      </c>
    </row>
    <row r="371" spans="2:3" x14ac:dyDescent="0.35">
      <c r="B371" s="3">
        <v>1322</v>
      </c>
      <c r="C371" s="4">
        <v>5</v>
      </c>
    </row>
    <row r="372" spans="2:3" x14ac:dyDescent="0.35">
      <c r="B372" s="3">
        <v>1323</v>
      </c>
      <c r="C372" s="4">
        <v>7</v>
      </c>
    </row>
    <row r="373" spans="2:3" x14ac:dyDescent="0.35">
      <c r="B373" s="3">
        <v>1324</v>
      </c>
      <c r="C373" s="4">
        <v>8</v>
      </c>
    </row>
    <row r="374" spans="2:3" x14ac:dyDescent="0.35">
      <c r="B374" s="3">
        <v>1325</v>
      </c>
      <c r="C374" s="4">
        <v>7</v>
      </c>
    </row>
    <row r="375" spans="2:3" x14ac:dyDescent="0.35">
      <c r="B375" s="3">
        <v>1326</v>
      </c>
      <c r="C375" s="4">
        <v>5</v>
      </c>
    </row>
    <row r="376" spans="2:3" x14ac:dyDescent="0.35">
      <c r="B376" s="3">
        <v>1327</v>
      </c>
      <c r="C376" s="4">
        <v>1</v>
      </c>
    </row>
    <row r="377" spans="2:3" x14ac:dyDescent="0.35">
      <c r="B377" s="3">
        <v>1328</v>
      </c>
      <c r="C377" s="4">
        <v>5</v>
      </c>
    </row>
    <row r="378" spans="2:3" x14ac:dyDescent="0.35">
      <c r="B378" s="3">
        <v>1330</v>
      </c>
      <c r="C378" s="4">
        <v>5</v>
      </c>
    </row>
    <row r="379" spans="2:3" x14ac:dyDescent="0.35">
      <c r="B379" s="3">
        <v>1331</v>
      </c>
      <c r="C379" s="4">
        <v>5</v>
      </c>
    </row>
    <row r="380" spans="2:3" x14ac:dyDescent="0.35">
      <c r="B380" s="3">
        <v>1332</v>
      </c>
      <c r="C380" s="4">
        <v>2</v>
      </c>
    </row>
    <row r="381" spans="2:3" x14ac:dyDescent="0.35">
      <c r="B381" s="3">
        <v>1333</v>
      </c>
      <c r="C381" s="4">
        <v>5</v>
      </c>
    </row>
    <row r="382" spans="2:3" x14ac:dyDescent="0.35">
      <c r="B382" s="3">
        <v>1334</v>
      </c>
      <c r="C382" s="4">
        <v>4</v>
      </c>
    </row>
    <row r="383" spans="2:3" x14ac:dyDescent="0.35">
      <c r="B383" s="3">
        <v>1335</v>
      </c>
      <c r="C383" s="4">
        <v>1</v>
      </c>
    </row>
    <row r="384" spans="2:3" x14ac:dyDescent="0.35">
      <c r="B384" s="3">
        <v>1336</v>
      </c>
      <c r="C384" s="4">
        <v>3</v>
      </c>
    </row>
    <row r="385" spans="2:3" x14ac:dyDescent="0.35">
      <c r="B385" s="3">
        <v>1337</v>
      </c>
      <c r="C385" s="4">
        <v>1</v>
      </c>
    </row>
    <row r="386" spans="2:3" x14ac:dyDescent="0.35">
      <c r="B386" s="3">
        <v>1338</v>
      </c>
      <c r="C386" s="4">
        <v>5</v>
      </c>
    </row>
    <row r="387" spans="2:3" x14ac:dyDescent="0.35">
      <c r="B387" s="3">
        <v>1339</v>
      </c>
      <c r="C387" s="4">
        <v>4</v>
      </c>
    </row>
    <row r="388" spans="2:3" x14ac:dyDescent="0.35">
      <c r="B388" s="3">
        <v>1340</v>
      </c>
      <c r="C388" s="4">
        <v>7</v>
      </c>
    </row>
    <row r="389" spans="2:3" x14ac:dyDescent="0.35">
      <c r="B389" s="3">
        <v>1341</v>
      </c>
      <c r="C389" s="4">
        <v>5</v>
      </c>
    </row>
    <row r="390" spans="2:3" x14ac:dyDescent="0.35">
      <c r="B390" s="3">
        <v>1342</v>
      </c>
      <c r="C390" s="4">
        <v>4</v>
      </c>
    </row>
    <row r="391" spans="2:3" x14ac:dyDescent="0.35">
      <c r="B391" s="3">
        <v>1343</v>
      </c>
      <c r="C391" s="4">
        <v>2</v>
      </c>
    </row>
    <row r="392" spans="2:3" x14ac:dyDescent="0.35">
      <c r="B392" s="3">
        <v>1344</v>
      </c>
      <c r="C392" s="4">
        <v>4</v>
      </c>
    </row>
    <row r="393" spans="2:3" x14ac:dyDescent="0.35">
      <c r="B393" s="3">
        <v>1345</v>
      </c>
      <c r="C393" s="4">
        <v>2</v>
      </c>
    </row>
    <row r="394" spans="2:3" x14ac:dyDescent="0.35">
      <c r="B394" s="3">
        <v>1346</v>
      </c>
      <c r="C394" s="4">
        <v>8</v>
      </c>
    </row>
    <row r="395" spans="2:3" x14ac:dyDescent="0.35">
      <c r="B395" s="3">
        <v>1347</v>
      </c>
      <c r="C395" s="4">
        <v>3</v>
      </c>
    </row>
    <row r="396" spans="2:3" x14ac:dyDescent="0.35">
      <c r="B396" s="3">
        <v>1348</v>
      </c>
      <c r="C396" s="4">
        <v>9</v>
      </c>
    </row>
    <row r="397" spans="2:3" x14ac:dyDescent="0.35">
      <c r="B397" s="3">
        <v>1349</v>
      </c>
      <c r="C397" s="4">
        <v>4</v>
      </c>
    </row>
    <row r="398" spans="2:3" x14ac:dyDescent="0.35">
      <c r="B398" s="3">
        <v>1350</v>
      </c>
      <c r="C398" s="4">
        <v>6</v>
      </c>
    </row>
    <row r="399" spans="2:3" x14ac:dyDescent="0.35">
      <c r="B399" s="3">
        <v>1351</v>
      </c>
      <c r="C399" s="4">
        <v>5</v>
      </c>
    </row>
    <row r="400" spans="2:3" x14ac:dyDescent="0.35">
      <c r="B400" s="3">
        <v>1352</v>
      </c>
      <c r="C400" s="4">
        <v>1</v>
      </c>
    </row>
    <row r="401" spans="2:3" x14ac:dyDescent="0.35">
      <c r="B401" s="3">
        <v>1353</v>
      </c>
      <c r="C401" s="4">
        <v>9</v>
      </c>
    </row>
    <row r="402" spans="2:3" x14ac:dyDescent="0.35">
      <c r="B402" s="3">
        <v>1354</v>
      </c>
      <c r="C402" s="4">
        <v>1</v>
      </c>
    </row>
    <row r="403" spans="2:3" x14ac:dyDescent="0.35">
      <c r="B403" s="3">
        <v>1355</v>
      </c>
      <c r="C403" s="4">
        <v>8</v>
      </c>
    </row>
    <row r="404" spans="2:3" x14ac:dyDescent="0.35">
      <c r="B404" s="3">
        <v>1356</v>
      </c>
      <c r="C404" s="4">
        <v>9</v>
      </c>
    </row>
    <row r="405" spans="2:3" x14ac:dyDescent="0.35">
      <c r="B405" s="3">
        <v>1357</v>
      </c>
      <c r="C405" s="4">
        <v>9</v>
      </c>
    </row>
    <row r="406" spans="2:3" x14ac:dyDescent="0.35">
      <c r="B406" s="3">
        <v>1358</v>
      </c>
      <c r="C406" s="4">
        <v>1</v>
      </c>
    </row>
    <row r="407" spans="2:3" x14ac:dyDescent="0.35">
      <c r="B407" s="3">
        <v>1359</v>
      </c>
      <c r="C407" s="4">
        <v>2</v>
      </c>
    </row>
    <row r="408" spans="2:3" x14ac:dyDescent="0.35">
      <c r="B408" s="3">
        <v>1360</v>
      </c>
      <c r="C408" s="4">
        <v>1</v>
      </c>
    </row>
    <row r="409" spans="2:3" x14ac:dyDescent="0.35">
      <c r="B409" s="3">
        <v>1361</v>
      </c>
      <c r="C409" s="4">
        <v>2</v>
      </c>
    </row>
    <row r="410" spans="2:3" x14ac:dyDescent="0.35">
      <c r="B410" s="3">
        <v>1362</v>
      </c>
      <c r="C410" s="4">
        <v>8</v>
      </c>
    </row>
    <row r="411" spans="2:3" x14ac:dyDescent="0.35">
      <c r="B411" s="3">
        <v>1363</v>
      </c>
      <c r="C411" s="4">
        <v>5</v>
      </c>
    </row>
    <row r="412" spans="2:3" x14ac:dyDescent="0.35">
      <c r="B412" s="3">
        <v>1364</v>
      </c>
      <c r="C412" s="4">
        <v>7</v>
      </c>
    </row>
    <row r="413" spans="2:3" x14ac:dyDescent="0.35">
      <c r="B413" s="3">
        <v>1365</v>
      </c>
      <c r="C413" s="4">
        <v>2</v>
      </c>
    </row>
    <row r="414" spans="2:3" x14ac:dyDescent="0.35">
      <c r="B414" s="3">
        <v>1366</v>
      </c>
      <c r="C414" s="4">
        <v>8</v>
      </c>
    </row>
    <row r="415" spans="2:3" x14ac:dyDescent="0.35">
      <c r="B415" s="3">
        <v>1367</v>
      </c>
      <c r="C415" s="4">
        <v>6</v>
      </c>
    </row>
    <row r="416" spans="2:3" x14ac:dyDescent="0.35">
      <c r="B416" s="3">
        <v>1368</v>
      </c>
      <c r="C416" s="4">
        <v>8</v>
      </c>
    </row>
    <row r="417" spans="2:3" x14ac:dyDescent="0.35">
      <c r="B417" s="3">
        <v>1369</v>
      </c>
      <c r="C417" s="4">
        <v>1</v>
      </c>
    </row>
    <row r="418" spans="2:3" x14ac:dyDescent="0.35">
      <c r="B418" s="3">
        <v>1370</v>
      </c>
      <c r="C418" s="4">
        <v>1</v>
      </c>
    </row>
    <row r="419" spans="2:3" x14ac:dyDescent="0.35">
      <c r="B419" s="3">
        <v>1371</v>
      </c>
      <c r="C419" s="4">
        <v>7</v>
      </c>
    </row>
    <row r="420" spans="2:3" x14ac:dyDescent="0.35">
      <c r="B420" s="3">
        <v>1372</v>
      </c>
      <c r="C420" s="4">
        <v>8</v>
      </c>
    </row>
    <row r="421" spans="2:3" x14ac:dyDescent="0.35">
      <c r="B421" s="3">
        <v>1373</v>
      </c>
      <c r="C421" s="4">
        <v>3</v>
      </c>
    </row>
    <row r="422" spans="2:3" x14ac:dyDescent="0.35">
      <c r="B422" s="3">
        <v>1374</v>
      </c>
      <c r="C422" s="4">
        <v>5</v>
      </c>
    </row>
    <row r="423" spans="2:3" x14ac:dyDescent="0.35">
      <c r="B423" s="3">
        <v>1375</v>
      </c>
      <c r="C423" s="4">
        <v>1</v>
      </c>
    </row>
    <row r="424" spans="2:3" x14ac:dyDescent="0.35">
      <c r="B424" s="3">
        <v>1376</v>
      </c>
      <c r="C424" s="4">
        <v>7</v>
      </c>
    </row>
    <row r="425" spans="2:3" x14ac:dyDescent="0.35">
      <c r="B425" s="3">
        <v>1377</v>
      </c>
      <c r="C425" s="4">
        <v>5</v>
      </c>
    </row>
    <row r="426" spans="2:3" x14ac:dyDescent="0.35">
      <c r="B426" s="3">
        <v>1378</v>
      </c>
      <c r="C426" s="4">
        <v>8</v>
      </c>
    </row>
    <row r="427" spans="2:3" x14ac:dyDescent="0.35">
      <c r="B427" s="3">
        <v>1379</v>
      </c>
      <c r="C427" s="4">
        <v>8</v>
      </c>
    </row>
    <row r="428" spans="2:3" x14ac:dyDescent="0.35">
      <c r="B428" s="3">
        <v>1380</v>
      </c>
      <c r="C428" s="4">
        <v>9</v>
      </c>
    </row>
    <row r="429" spans="2:3" x14ac:dyDescent="0.35">
      <c r="B429" s="3">
        <v>1381</v>
      </c>
      <c r="C429" s="4">
        <v>7</v>
      </c>
    </row>
    <row r="430" spans="2:3" x14ac:dyDescent="0.35">
      <c r="B430" s="3">
        <v>1382</v>
      </c>
      <c r="C430" s="4">
        <v>1</v>
      </c>
    </row>
    <row r="431" spans="2:3" x14ac:dyDescent="0.35">
      <c r="B431" s="3">
        <v>1383</v>
      </c>
      <c r="C431" s="4">
        <v>3</v>
      </c>
    </row>
    <row r="432" spans="2:3" x14ac:dyDescent="0.35">
      <c r="B432" s="3">
        <v>1384</v>
      </c>
      <c r="C432" s="4">
        <v>8</v>
      </c>
    </row>
    <row r="433" spans="2:3" x14ac:dyDescent="0.35">
      <c r="B433" s="3">
        <v>1385</v>
      </c>
      <c r="C433" s="4">
        <v>3</v>
      </c>
    </row>
    <row r="434" spans="2:3" x14ac:dyDescent="0.35">
      <c r="B434" s="3">
        <v>1387</v>
      </c>
      <c r="C434" s="4">
        <v>1</v>
      </c>
    </row>
    <row r="435" spans="2:3" x14ac:dyDescent="0.35">
      <c r="B435" s="3">
        <v>1388</v>
      </c>
      <c r="C435" s="4">
        <v>5</v>
      </c>
    </row>
    <row r="436" spans="2:3" x14ac:dyDescent="0.35">
      <c r="B436" s="3">
        <v>1389</v>
      </c>
      <c r="C436" s="4">
        <v>4</v>
      </c>
    </row>
    <row r="437" spans="2:3" x14ac:dyDescent="0.35">
      <c r="B437" s="3">
        <v>1390</v>
      </c>
      <c r="C437" s="4">
        <v>5</v>
      </c>
    </row>
    <row r="438" spans="2:3" x14ac:dyDescent="0.35">
      <c r="B438" s="3">
        <v>1391</v>
      </c>
      <c r="C438" s="4">
        <v>8</v>
      </c>
    </row>
    <row r="439" spans="2:3" x14ac:dyDescent="0.35">
      <c r="B439" s="3">
        <v>1392</v>
      </c>
      <c r="C439" s="4">
        <v>4</v>
      </c>
    </row>
    <row r="440" spans="2:3" x14ac:dyDescent="0.35">
      <c r="B440" s="3">
        <v>1393</v>
      </c>
      <c r="C440" s="4">
        <v>4</v>
      </c>
    </row>
    <row r="441" spans="2:3" x14ac:dyDescent="0.35">
      <c r="B441" s="3">
        <v>1394</v>
      </c>
      <c r="C441" s="4">
        <v>3</v>
      </c>
    </row>
    <row r="442" spans="2:3" x14ac:dyDescent="0.35">
      <c r="B442" s="3">
        <v>1395</v>
      </c>
      <c r="C442" s="4">
        <v>7</v>
      </c>
    </row>
    <row r="443" spans="2:3" x14ac:dyDescent="0.35">
      <c r="B443" s="3">
        <v>1396</v>
      </c>
      <c r="C443" s="4">
        <v>3</v>
      </c>
    </row>
    <row r="444" spans="2:3" x14ac:dyDescent="0.35">
      <c r="B444" s="3">
        <v>1397</v>
      </c>
      <c r="C444" s="4">
        <v>3</v>
      </c>
    </row>
    <row r="445" spans="2:3" x14ac:dyDescent="0.35">
      <c r="B445" s="3">
        <v>1398</v>
      </c>
      <c r="C445" s="4">
        <v>5</v>
      </c>
    </row>
    <row r="446" spans="2:3" x14ac:dyDescent="0.35">
      <c r="B446" s="3">
        <v>1399</v>
      </c>
      <c r="C446" s="4">
        <v>5</v>
      </c>
    </row>
    <row r="447" spans="2:3" x14ac:dyDescent="0.35">
      <c r="B447" s="3">
        <v>1400</v>
      </c>
      <c r="C447" s="4">
        <v>6</v>
      </c>
    </row>
    <row r="448" spans="2:3" x14ac:dyDescent="0.35">
      <c r="B448" s="3">
        <v>1401</v>
      </c>
      <c r="C448" s="4">
        <v>8</v>
      </c>
    </row>
    <row r="449" spans="2:3" x14ac:dyDescent="0.35">
      <c r="B449" s="3">
        <v>1402</v>
      </c>
      <c r="C449" s="4">
        <v>6</v>
      </c>
    </row>
    <row r="450" spans="2:3" x14ac:dyDescent="0.35">
      <c r="B450" s="3">
        <v>1403</v>
      </c>
      <c r="C450" s="4">
        <v>1</v>
      </c>
    </row>
    <row r="451" spans="2:3" x14ac:dyDescent="0.35">
      <c r="B451" s="3">
        <v>1404</v>
      </c>
      <c r="C451" s="4">
        <v>8</v>
      </c>
    </row>
    <row r="452" spans="2:3" x14ac:dyDescent="0.35">
      <c r="B452" s="3">
        <v>1405</v>
      </c>
      <c r="C452" s="4">
        <v>8</v>
      </c>
    </row>
    <row r="453" spans="2:3" x14ac:dyDescent="0.35">
      <c r="B453" s="3">
        <v>1406</v>
      </c>
      <c r="C453" s="4">
        <v>9</v>
      </c>
    </row>
    <row r="454" spans="2:3" x14ac:dyDescent="0.35">
      <c r="B454" s="3">
        <v>1407</v>
      </c>
      <c r="C454" s="4">
        <v>9</v>
      </c>
    </row>
    <row r="455" spans="2:3" x14ac:dyDescent="0.35">
      <c r="B455" s="3">
        <v>1408</v>
      </c>
      <c r="C455" s="4">
        <v>2</v>
      </c>
    </row>
    <row r="456" spans="2:3" x14ac:dyDescent="0.35">
      <c r="B456" s="3">
        <v>1409</v>
      </c>
      <c r="C456" s="4">
        <v>2</v>
      </c>
    </row>
    <row r="457" spans="2:3" x14ac:dyDescent="0.35">
      <c r="B457" s="3">
        <v>1410</v>
      </c>
      <c r="C457" s="4">
        <v>3</v>
      </c>
    </row>
    <row r="458" spans="2:3" x14ac:dyDescent="0.35">
      <c r="B458" s="3">
        <v>1411</v>
      </c>
      <c r="C458" s="4">
        <v>1</v>
      </c>
    </row>
    <row r="459" spans="2:3" x14ac:dyDescent="0.35">
      <c r="B459" s="3">
        <v>1412</v>
      </c>
      <c r="C459" s="4">
        <v>4</v>
      </c>
    </row>
    <row r="460" spans="2:3" x14ac:dyDescent="0.35">
      <c r="B460" s="3">
        <v>1413</v>
      </c>
      <c r="C460" s="4">
        <v>4</v>
      </c>
    </row>
    <row r="461" spans="2:3" x14ac:dyDescent="0.35">
      <c r="B461" s="3">
        <v>1414</v>
      </c>
      <c r="C461" s="4">
        <v>9</v>
      </c>
    </row>
    <row r="462" spans="2:3" x14ac:dyDescent="0.35">
      <c r="B462" s="3">
        <v>1415</v>
      </c>
      <c r="C462" s="4">
        <v>9</v>
      </c>
    </row>
    <row r="463" spans="2:3" x14ac:dyDescent="0.35">
      <c r="B463" s="3">
        <v>1416</v>
      </c>
      <c r="C463" s="4">
        <v>9</v>
      </c>
    </row>
    <row r="464" spans="2:3" x14ac:dyDescent="0.35">
      <c r="B464" s="3">
        <v>1417</v>
      </c>
      <c r="C464" s="4">
        <v>7</v>
      </c>
    </row>
    <row r="465" spans="2:3" x14ac:dyDescent="0.35">
      <c r="B465" s="3">
        <v>1418</v>
      </c>
      <c r="C465" s="4">
        <v>2</v>
      </c>
    </row>
    <row r="466" spans="2:3" x14ac:dyDescent="0.35">
      <c r="B466" s="3">
        <v>1419</v>
      </c>
      <c r="C466" s="4">
        <v>5</v>
      </c>
    </row>
    <row r="467" spans="2:3" x14ac:dyDescent="0.35">
      <c r="B467" s="3">
        <v>1420</v>
      </c>
      <c r="C467" s="4">
        <v>4</v>
      </c>
    </row>
    <row r="468" spans="2:3" x14ac:dyDescent="0.35">
      <c r="B468" s="3">
        <v>1421</v>
      </c>
      <c r="C468" s="4">
        <v>8</v>
      </c>
    </row>
    <row r="469" spans="2:3" x14ac:dyDescent="0.35">
      <c r="B469" s="3">
        <v>1422</v>
      </c>
      <c r="C469" s="4">
        <v>2</v>
      </c>
    </row>
    <row r="470" spans="2:3" x14ac:dyDescent="0.35">
      <c r="B470" s="3">
        <v>1423</v>
      </c>
      <c r="C470" s="4">
        <v>6</v>
      </c>
    </row>
    <row r="471" spans="2:3" x14ac:dyDescent="0.35">
      <c r="B471" s="3">
        <v>1424</v>
      </c>
      <c r="C471" s="4">
        <v>5</v>
      </c>
    </row>
    <row r="472" spans="2:3" x14ac:dyDescent="0.35">
      <c r="B472" s="3">
        <v>1425</v>
      </c>
      <c r="C472" s="4">
        <v>2</v>
      </c>
    </row>
    <row r="473" spans="2:3" x14ac:dyDescent="0.35">
      <c r="B473" s="3">
        <v>1426</v>
      </c>
      <c r="C473" s="4">
        <v>1</v>
      </c>
    </row>
    <row r="474" spans="2:3" x14ac:dyDescent="0.35">
      <c r="B474" s="3">
        <v>1427</v>
      </c>
      <c r="C474" s="4">
        <v>8</v>
      </c>
    </row>
    <row r="475" spans="2:3" x14ac:dyDescent="0.35">
      <c r="B475" s="3">
        <v>1428</v>
      </c>
      <c r="C475" s="4">
        <v>2</v>
      </c>
    </row>
    <row r="476" spans="2:3" x14ac:dyDescent="0.35">
      <c r="B476" s="3">
        <v>1429</v>
      </c>
      <c r="C476" s="4">
        <v>7</v>
      </c>
    </row>
    <row r="477" spans="2:3" x14ac:dyDescent="0.35">
      <c r="B477" s="3">
        <v>1430</v>
      </c>
      <c r="C477" s="4">
        <v>9</v>
      </c>
    </row>
    <row r="478" spans="2:3" x14ac:dyDescent="0.35">
      <c r="B478" s="3">
        <v>1431</v>
      </c>
      <c r="C478" s="4">
        <v>9</v>
      </c>
    </row>
    <row r="479" spans="2:3" x14ac:dyDescent="0.35">
      <c r="B479" s="3">
        <v>1432</v>
      </c>
      <c r="C479" s="4">
        <v>8</v>
      </c>
    </row>
    <row r="480" spans="2:3" x14ac:dyDescent="0.35">
      <c r="B480" s="3">
        <v>1433</v>
      </c>
      <c r="C480" s="4">
        <v>9</v>
      </c>
    </row>
    <row r="481" spans="2:3" x14ac:dyDescent="0.35">
      <c r="B481" s="3">
        <v>1434</v>
      </c>
      <c r="C481" s="4">
        <v>2</v>
      </c>
    </row>
    <row r="482" spans="2:3" x14ac:dyDescent="0.35">
      <c r="B482" s="3">
        <v>1435</v>
      </c>
      <c r="C482" s="4">
        <v>6</v>
      </c>
    </row>
    <row r="483" spans="2:3" x14ac:dyDescent="0.35">
      <c r="B483" s="3">
        <v>1436</v>
      </c>
      <c r="C483" s="4">
        <v>4</v>
      </c>
    </row>
    <row r="484" spans="2:3" x14ac:dyDescent="0.35">
      <c r="B484" s="3">
        <v>1437</v>
      </c>
      <c r="C484" s="4">
        <v>4</v>
      </c>
    </row>
    <row r="485" spans="2:3" x14ac:dyDescent="0.35">
      <c r="B485" s="3">
        <v>1438</v>
      </c>
      <c r="C485" s="4">
        <v>5</v>
      </c>
    </row>
    <row r="486" spans="2:3" x14ac:dyDescent="0.35">
      <c r="B486" s="3">
        <v>1439</v>
      </c>
      <c r="C486" s="4">
        <v>3</v>
      </c>
    </row>
    <row r="487" spans="2:3" x14ac:dyDescent="0.35">
      <c r="B487" s="3">
        <v>1441</v>
      </c>
      <c r="C487" s="4">
        <v>8</v>
      </c>
    </row>
    <row r="488" spans="2:3" x14ac:dyDescent="0.35">
      <c r="B488" s="3">
        <v>1442</v>
      </c>
      <c r="C488" s="4">
        <v>5</v>
      </c>
    </row>
    <row r="489" spans="2:3" x14ac:dyDescent="0.35">
      <c r="B489" s="3">
        <v>1443</v>
      </c>
      <c r="C489" s="4">
        <v>3</v>
      </c>
    </row>
    <row r="490" spans="2:3" x14ac:dyDescent="0.35">
      <c r="B490" s="3">
        <v>1444</v>
      </c>
      <c r="C490" s="4">
        <v>7</v>
      </c>
    </row>
    <row r="491" spans="2:3" x14ac:dyDescent="0.35">
      <c r="B491" s="3">
        <v>1445</v>
      </c>
      <c r="C491" s="4">
        <v>7</v>
      </c>
    </row>
    <row r="492" spans="2:3" x14ac:dyDescent="0.35">
      <c r="B492" s="3">
        <v>1446</v>
      </c>
      <c r="C492" s="4">
        <v>1</v>
      </c>
    </row>
    <row r="493" spans="2:3" x14ac:dyDescent="0.35">
      <c r="B493" s="3">
        <v>1447</v>
      </c>
      <c r="C493" s="4">
        <v>9</v>
      </c>
    </row>
    <row r="494" spans="2:3" x14ac:dyDescent="0.35">
      <c r="B494" s="3">
        <v>1448</v>
      </c>
      <c r="C494" s="4">
        <v>2</v>
      </c>
    </row>
    <row r="495" spans="2:3" x14ac:dyDescent="0.35">
      <c r="B495" s="3">
        <v>1449</v>
      </c>
      <c r="C495" s="4">
        <v>5</v>
      </c>
    </row>
    <row r="496" spans="2:3" x14ac:dyDescent="0.35">
      <c r="B496" s="3">
        <v>1450</v>
      </c>
      <c r="C496" s="4">
        <v>5</v>
      </c>
    </row>
    <row r="497" spans="2:3" x14ac:dyDescent="0.35">
      <c r="B497" s="3">
        <v>1451</v>
      </c>
      <c r="C497" s="4">
        <v>8</v>
      </c>
    </row>
    <row r="498" spans="2:3" x14ac:dyDescent="0.35">
      <c r="B498" s="3">
        <v>1452</v>
      </c>
      <c r="C498" s="4">
        <v>8</v>
      </c>
    </row>
    <row r="499" spans="2:3" x14ac:dyDescent="0.35">
      <c r="B499" s="3">
        <v>1453</v>
      </c>
      <c r="C499" s="4">
        <v>7</v>
      </c>
    </row>
    <row r="500" spans="2:3" x14ac:dyDescent="0.35">
      <c r="B500" s="3">
        <v>1454</v>
      </c>
      <c r="C500" s="4">
        <v>7</v>
      </c>
    </row>
    <row r="501" spans="2:3" x14ac:dyDescent="0.35">
      <c r="B501" s="3">
        <v>1455</v>
      </c>
      <c r="C501" s="4">
        <v>6</v>
      </c>
    </row>
    <row r="502" spans="2:3" x14ac:dyDescent="0.35">
      <c r="B502" s="3">
        <v>1456</v>
      </c>
      <c r="C502" s="4">
        <v>6</v>
      </c>
    </row>
    <row r="503" spans="2:3" x14ac:dyDescent="0.35">
      <c r="B503" s="3">
        <v>1457</v>
      </c>
      <c r="C503" s="4">
        <v>9</v>
      </c>
    </row>
    <row r="504" spans="2:3" x14ac:dyDescent="0.35">
      <c r="B504" s="3">
        <v>1458</v>
      </c>
      <c r="C504" s="4">
        <v>6</v>
      </c>
    </row>
    <row r="505" spans="2:3" x14ac:dyDescent="0.35">
      <c r="B505" s="3">
        <v>1460</v>
      </c>
      <c r="C505" s="4">
        <v>2</v>
      </c>
    </row>
    <row r="506" spans="2:3" x14ac:dyDescent="0.35">
      <c r="B506" s="3">
        <v>1461</v>
      </c>
      <c r="C506" s="4">
        <v>5</v>
      </c>
    </row>
    <row r="507" spans="2:3" x14ac:dyDescent="0.35">
      <c r="B507" s="3">
        <v>1462</v>
      </c>
      <c r="C507" s="4">
        <v>4</v>
      </c>
    </row>
    <row r="508" spans="2:3" x14ac:dyDescent="0.35">
      <c r="B508" s="3">
        <v>1463</v>
      </c>
      <c r="C508" s="4">
        <v>2</v>
      </c>
    </row>
    <row r="509" spans="2:3" x14ac:dyDescent="0.35">
      <c r="B509" s="3">
        <v>1464</v>
      </c>
      <c r="C509" s="4">
        <v>3</v>
      </c>
    </row>
    <row r="510" spans="2:3" x14ac:dyDescent="0.35">
      <c r="B510" s="3">
        <v>1465</v>
      </c>
      <c r="C510" s="4">
        <v>7</v>
      </c>
    </row>
    <row r="511" spans="2:3" x14ac:dyDescent="0.35">
      <c r="B511" s="3">
        <v>1466</v>
      </c>
      <c r="C511" s="4">
        <v>8</v>
      </c>
    </row>
    <row r="512" spans="2:3" x14ac:dyDescent="0.35">
      <c r="B512" s="3">
        <v>1467</v>
      </c>
      <c r="C512" s="4">
        <v>6</v>
      </c>
    </row>
    <row r="513" spans="2:3" x14ac:dyDescent="0.35">
      <c r="B513" s="3">
        <v>1468</v>
      </c>
      <c r="C513" s="4">
        <v>5</v>
      </c>
    </row>
    <row r="514" spans="2:3" x14ac:dyDescent="0.35">
      <c r="B514" s="3">
        <v>1469</v>
      </c>
      <c r="C514" s="4">
        <v>1</v>
      </c>
    </row>
    <row r="515" spans="2:3" x14ac:dyDescent="0.35">
      <c r="B515" s="3">
        <v>1470</v>
      </c>
      <c r="C515" s="4">
        <v>8</v>
      </c>
    </row>
    <row r="516" spans="2:3" x14ac:dyDescent="0.35">
      <c r="B516" s="3">
        <v>1471</v>
      </c>
      <c r="C516" s="4">
        <v>3</v>
      </c>
    </row>
    <row r="517" spans="2:3" x14ac:dyDescent="0.35">
      <c r="B517" s="3">
        <v>1472</v>
      </c>
      <c r="C517" s="4">
        <v>6</v>
      </c>
    </row>
    <row r="518" spans="2:3" x14ac:dyDescent="0.35">
      <c r="B518" s="3">
        <v>1473</v>
      </c>
      <c r="C518" s="4">
        <v>3</v>
      </c>
    </row>
    <row r="519" spans="2:3" x14ac:dyDescent="0.35">
      <c r="B519" s="3">
        <v>1474</v>
      </c>
      <c r="C519" s="4">
        <v>7</v>
      </c>
    </row>
    <row r="520" spans="2:3" x14ac:dyDescent="0.35">
      <c r="B520" s="3">
        <v>1475</v>
      </c>
      <c r="C520" s="4">
        <v>7</v>
      </c>
    </row>
    <row r="521" spans="2:3" x14ac:dyDescent="0.35">
      <c r="B521" s="3">
        <v>1476</v>
      </c>
      <c r="C521" s="4">
        <v>9</v>
      </c>
    </row>
    <row r="522" spans="2:3" x14ac:dyDescent="0.35">
      <c r="B522" s="3">
        <v>1477</v>
      </c>
      <c r="C522" s="4">
        <v>5</v>
      </c>
    </row>
    <row r="523" spans="2:3" x14ac:dyDescent="0.35">
      <c r="B523" s="3">
        <v>1478</v>
      </c>
      <c r="C523" s="4">
        <v>8</v>
      </c>
    </row>
    <row r="524" spans="2:3" x14ac:dyDescent="0.35">
      <c r="B524" s="3">
        <v>1479</v>
      </c>
      <c r="C524" s="4">
        <v>8</v>
      </c>
    </row>
    <row r="525" spans="2:3" x14ac:dyDescent="0.35">
      <c r="B525" s="3">
        <v>1480</v>
      </c>
      <c r="C525" s="4">
        <v>1</v>
      </c>
    </row>
    <row r="526" spans="2:3" x14ac:dyDescent="0.35">
      <c r="B526" s="3">
        <v>1481</v>
      </c>
      <c r="C526" s="4">
        <v>5</v>
      </c>
    </row>
    <row r="527" spans="2:3" x14ac:dyDescent="0.35">
      <c r="B527" s="3">
        <v>1482</v>
      </c>
      <c r="C527" s="4">
        <v>3</v>
      </c>
    </row>
    <row r="528" spans="2:3" x14ac:dyDescent="0.35">
      <c r="B528" s="3">
        <v>1483</v>
      </c>
      <c r="C528" s="4">
        <v>1</v>
      </c>
    </row>
    <row r="529" spans="2:3" x14ac:dyDescent="0.35">
      <c r="B529" s="3">
        <v>1484</v>
      </c>
      <c r="C529" s="4">
        <v>4</v>
      </c>
    </row>
    <row r="530" spans="2:3" x14ac:dyDescent="0.35">
      <c r="B530" s="3">
        <v>1485</v>
      </c>
      <c r="C530" s="4">
        <v>8</v>
      </c>
    </row>
    <row r="531" spans="2:3" x14ac:dyDescent="0.35">
      <c r="B531" s="3">
        <v>1486</v>
      </c>
      <c r="C531" s="4">
        <v>3</v>
      </c>
    </row>
    <row r="532" spans="2:3" x14ac:dyDescent="0.35">
      <c r="B532" s="3">
        <v>1487</v>
      </c>
      <c r="C532" s="4">
        <v>2</v>
      </c>
    </row>
    <row r="533" spans="2:3" x14ac:dyDescent="0.35">
      <c r="B533" s="3">
        <v>1488</v>
      </c>
      <c r="C533" s="4">
        <v>9</v>
      </c>
    </row>
    <row r="534" spans="2:3" x14ac:dyDescent="0.35">
      <c r="B534" s="3">
        <v>1489</v>
      </c>
      <c r="C534" s="4">
        <v>5</v>
      </c>
    </row>
    <row r="535" spans="2:3" x14ac:dyDescent="0.35">
      <c r="B535" s="3">
        <v>1490</v>
      </c>
      <c r="C535" s="4">
        <v>7</v>
      </c>
    </row>
    <row r="536" spans="2:3" x14ac:dyDescent="0.35">
      <c r="B536" s="3">
        <v>1491</v>
      </c>
      <c r="C536" s="4">
        <v>2</v>
      </c>
    </row>
    <row r="537" spans="2:3" x14ac:dyDescent="0.35">
      <c r="B537" s="3">
        <v>1492</v>
      </c>
      <c r="C537" s="4">
        <v>9</v>
      </c>
    </row>
    <row r="538" spans="2:3" x14ac:dyDescent="0.35">
      <c r="B538" s="3">
        <v>1493</v>
      </c>
      <c r="C538" s="4">
        <v>9</v>
      </c>
    </row>
    <row r="539" spans="2:3" x14ac:dyDescent="0.35">
      <c r="B539" s="3">
        <v>1494</v>
      </c>
      <c r="C539" s="4">
        <v>4</v>
      </c>
    </row>
    <row r="540" spans="2:3" x14ac:dyDescent="0.35">
      <c r="B540" s="3">
        <v>1495</v>
      </c>
      <c r="C540" s="4">
        <v>4</v>
      </c>
    </row>
    <row r="541" spans="2:3" x14ac:dyDescent="0.35">
      <c r="B541" s="3">
        <v>1496</v>
      </c>
      <c r="C541" s="4">
        <v>6</v>
      </c>
    </row>
    <row r="542" spans="2:3" x14ac:dyDescent="0.35">
      <c r="B542" s="3">
        <v>1497</v>
      </c>
      <c r="C542" s="4">
        <v>6</v>
      </c>
    </row>
    <row r="543" spans="2:3" x14ac:dyDescent="0.35">
      <c r="B543" s="3">
        <v>1498</v>
      </c>
      <c r="C543" s="4">
        <v>1</v>
      </c>
    </row>
    <row r="544" spans="2:3" x14ac:dyDescent="0.35">
      <c r="B544" s="3">
        <v>1499</v>
      </c>
      <c r="C544" s="4">
        <v>9</v>
      </c>
    </row>
    <row r="545" spans="2:3" x14ac:dyDescent="0.35">
      <c r="B545" s="3">
        <v>1500</v>
      </c>
      <c r="C545" s="4">
        <v>2</v>
      </c>
    </row>
    <row r="546" spans="2:3" x14ac:dyDescent="0.35">
      <c r="B546" s="3" t="s">
        <v>104</v>
      </c>
      <c r="C546" s="4">
        <v>4.9918367346938775</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coffee_sales_dataset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ibitola</dc:creator>
  <cp:lastModifiedBy>samuel ibitola</cp:lastModifiedBy>
  <dcterms:created xsi:type="dcterms:W3CDTF">2025-11-05T20:35:54Z</dcterms:created>
  <dcterms:modified xsi:type="dcterms:W3CDTF">2025-11-08T16:54:22Z</dcterms:modified>
</cp:coreProperties>
</file>